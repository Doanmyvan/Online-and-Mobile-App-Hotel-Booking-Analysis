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PTS\OneDrive\Máy tính\Hospitality Project\Used Data\Marriott Mobile &amp; Online Booking Dataset\"/>
    </mc:Choice>
  </mc:AlternateContent>
  <bookViews>
    <workbookView xWindow="0" yWindow="0" windowWidth="19170" windowHeight="6890" tabRatio="718" firstSheet="1" activeTab="1"/>
  </bookViews>
  <sheets>
    <sheet name="D1. Channel Distribution" sheetId="6" r:id="rId1"/>
    <sheet name="D2. Discount &amp; Promotion" sheetId="7" r:id="rId2"/>
    <sheet name="D3. Customer Insight" sheetId="10" r:id="rId3"/>
    <sheet name="Data Support" sheetId="3" r:id="rId4"/>
    <sheet name="Booking_Dataset" sheetId="1" r:id="rId5"/>
  </sheets>
  <definedNames>
    <definedName name="_xlnm._FilterDatabase" localSheetId="4" hidden="1">Booking_Dataset!$A$1:$R$501</definedName>
    <definedName name="_xlchart.0" hidden="1">'Data Support'!$O$118:$O$124</definedName>
    <definedName name="_xlchart.1" hidden="1">'Data Support'!$P$118:$P$124</definedName>
    <definedName name="_xlchart.2" hidden="1">'Data Support'!$Q$118:$Q$124</definedName>
    <definedName name="_xlchart.3" hidden="1">'Data Support'!$O$118:$O$124</definedName>
    <definedName name="_xlchart.4" hidden="1">'Data Support'!$P$118:$P$124</definedName>
    <definedName name="_xlchart.5" hidden="1">'Data Support'!$Q$118:$Q$124</definedName>
    <definedName name="_xlcn.WorksheetConnection_Dashboard_Marriott_Mobile_Online_Booking.xlsxBooking_Data1" hidden="1">Booking_Data[]</definedName>
    <definedName name="NativeTimeline_Booking_Date">#N/A</definedName>
    <definedName name="Slicer_Booking_Platform">#N/A</definedName>
    <definedName name="Slicer_Cancellation_Status">#N/A</definedName>
    <definedName name="Slicer_Loyalty_Membership_Status">#N/A</definedName>
    <definedName name="Slicer_Payment_Method">#N/A</definedName>
    <definedName name="Slicer_Room_Type">#N/A</definedName>
    <definedName name="Timeline_Booking_Date">#N/A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5"/>
      </x15:timelineCachePivotCaches>
    </ext>
    <ext xmlns:x15="http://schemas.microsoft.com/office/spreadsheetml/2010/11/main" uri="{D0CA8CA8-9F24-4464-BF8E-62219DCF47F9}">
      <x15:timelineCacheRefs>
        <x15:timelineCacheRef r:id="rId26"/>
        <x15:timelineCacheRef r:id="rId27"/>
      </x15:timelineCacheRefs>
    </ext>
    <ext xmlns:x15="http://schemas.microsoft.com/office/spreadsheetml/2010/11/main" uri="{FCE2AD5D-F65C-4FA6-A056-5C36A1767C68}">
      <x15:dataModel>
        <x15:modelTables>
          <x15:modelTable id="Booking_Data" name="Booking_Data" connection="WorksheetConnection_Dashboard_ Marriott_Mobile_Online_Booking.xlsx!Booking_Data"/>
        </x15:modelTables>
      </x15:dataModel>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2" i="1"/>
  <c r="Q2" i="1" s="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shboard_ Marriott_Mobile_Online_Booking.xlsx!Booking_Data" type="102" refreshedVersion="6" minRefreshableVersion="5">
    <extLst>
      <ext xmlns:x15="http://schemas.microsoft.com/office/spreadsheetml/2010/11/main" uri="{DE250136-89BD-433C-8126-D09CA5730AF9}">
        <x15:connection id="Booking_Data" autoDelete="1">
          <x15:rangePr sourceName="_xlcn.WorksheetConnection_Dashboard_Marriott_Mobile_Online_Booking.xlsxBooking_Data1"/>
        </x15:connection>
      </ext>
    </extLst>
  </connection>
</connections>
</file>

<file path=xl/sharedStrings.xml><?xml version="1.0" encoding="utf-8"?>
<sst xmlns="http://schemas.openxmlformats.org/spreadsheetml/2006/main" count="3741" uniqueCount="1065">
  <si>
    <t>Booking ID</t>
  </si>
  <si>
    <t>Customer ID</t>
  </si>
  <si>
    <t>Booking Date</t>
  </si>
  <si>
    <t>Check-in Date</t>
  </si>
  <si>
    <t>Check-out Date</t>
  </si>
  <si>
    <t>Booking Platform</t>
  </si>
  <si>
    <t>Payment Method</t>
  </si>
  <si>
    <t>Loyalty Membership Status</t>
  </si>
  <si>
    <t>Room Type</t>
  </si>
  <si>
    <t>Booking Amount</t>
  </si>
  <si>
    <t>Discount Applied</t>
  </si>
  <si>
    <t>Cancellation Status</t>
  </si>
  <si>
    <t>BK00348</t>
  </si>
  <si>
    <t>CUST4936</t>
  </si>
  <si>
    <t>Mobile App</t>
  </si>
  <si>
    <t>Credit Card</t>
  </si>
  <si>
    <t>Platinum</t>
  </si>
  <si>
    <t>Suite</t>
  </si>
  <si>
    <t>Yes</t>
  </si>
  <si>
    <t>BK00427</t>
  </si>
  <si>
    <t>CUST2047</t>
  </si>
  <si>
    <t>Points Redemption</t>
  </si>
  <si>
    <t>Titanium</t>
  </si>
  <si>
    <t>Deluxe</t>
  </si>
  <si>
    <t>No</t>
  </si>
  <si>
    <t>BK00011</t>
  </si>
  <si>
    <t>CUST5878</t>
  </si>
  <si>
    <t>Presidential Suite</t>
  </si>
  <si>
    <t>BK00026</t>
  </si>
  <si>
    <t>CUST5834</t>
  </si>
  <si>
    <t>Third-Party OTA</t>
  </si>
  <si>
    <t>PayPal</t>
  </si>
  <si>
    <t>Silver</t>
  </si>
  <si>
    <t>BK00050</t>
  </si>
  <si>
    <t>CUST1042</t>
  </si>
  <si>
    <t>Website</t>
  </si>
  <si>
    <t>Bank Transfer</t>
  </si>
  <si>
    <t>Standard</t>
  </si>
  <si>
    <t>BK00467</t>
  </si>
  <si>
    <t>CUST5145</t>
  </si>
  <si>
    <t>BK00032</t>
  </si>
  <si>
    <t>CUST9253</t>
  </si>
  <si>
    <t>Ambassador</t>
  </si>
  <si>
    <t>BK00137</t>
  </si>
  <si>
    <t>CUST8770</t>
  </si>
  <si>
    <t>BK00240</t>
  </si>
  <si>
    <t>CUST2990</t>
  </si>
  <si>
    <t>BK00014</t>
  </si>
  <si>
    <t>CUST6839</t>
  </si>
  <si>
    <t>Gold</t>
  </si>
  <si>
    <t>BK00138</t>
  </si>
  <si>
    <t>CUST3572</t>
  </si>
  <si>
    <t>BK00204</t>
  </si>
  <si>
    <t>CUST8898</t>
  </si>
  <si>
    <t>BK00235</t>
  </si>
  <si>
    <t>CUST4980</t>
  </si>
  <si>
    <t>BK00236</t>
  </si>
  <si>
    <t>CUST8478</t>
  </si>
  <si>
    <t>Non-Member</t>
  </si>
  <si>
    <t>BK00259</t>
  </si>
  <si>
    <t>CUST6748</t>
  </si>
  <si>
    <t>BK00298</t>
  </si>
  <si>
    <t>CUST3918</t>
  </si>
  <si>
    <t>BK00079</t>
  </si>
  <si>
    <t>CUST9465</t>
  </si>
  <si>
    <t>BK00139</t>
  </si>
  <si>
    <t>CUST3056</t>
  </si>
  <si>
    <t>BK00215</t>
  </si>
  <si>
    <t>CUST3658</t>
  </si>
  <si>
    <t>BK00257</t>
  </si>
  <si>
    <t>CUST5701</t>
  </si>
  <si>
    <t>BK00335</t>
  </si>
  <si>
    <t>CUST4784</t>
  </si>
  <si>
    <t>BK00385</t>
  </si>
  <si>
    <t>CUST1811</t>
  </si>
  <si>
    <t>BK00395</t>
  </si>
  <si>
    <t>CUST7546</t>
  </si>
  <si>
    <t>BK00168</t>
  </si>
  <si>
    <t>CUST4014</t>
  </si>
  <si>
    <t>BK00183</t>
  </si>
  <si>
    <t>CUST8817</t>
  </si>
  <si>
    <t>BK00219</t>
  </si>
  <si>
    <t>CUST8163</t>
  </si>
  <si>
    <t>BK00404</t>
  </si>
  <si>
    <t>CUST5642</t>
  </si>
  <si>
    <t>BK00172</t>
  </si>
  <si>
    <t>CUST3494</t>
  </si>
  <si>
    <t>BK00260</t>
  </si>
  <si>
    <t>CUST3776</t>
  </si>
  <si>
    <t>BK00341</t>
  </si>
  <si>
    <t>CUST3749</t>
  </si>
  <si>
    <t>BK00392</t>
  </si>
  <si>
    <t>CUST9552</t>
  </si>
  <si>
    <t>BK00255</t>
  </si>
  <si>
    <t>CUST3449</t>
  </si>
  <si>
    <t>BK00351</t>
  </si>
  <si>
    <t>CUST7245</t>
  </si>
  <si>
    <t>BK00439</t>
  </si>
  <si>
    <t>CUST6477</t>
  </si>
  <si>
    <t>BK00015</t>
  </si>
  <si>
    <t>CUST6066</t>
  </si>
  <si>
    <t>BK00056</t>
  </si>
  <si>
    <t>CUST2862</t>
  </si>
  <si>
    <t>BK00092</t>
  </si>
  <si>
    <t>CUST7164</t>
  </si>
  <si>
    <t>BK00252</t>
  </si>
  <si>
    <t>CUST1316</t>
  </si>
  <si>
    <t>BK00292</t>
  </si>
  <si>
    <t>CUST8188</t>
  </si>
  <si>
    <t>BK00410</t>
  </si>
  <si>
    <t>CUST5052</t>
  </si>
  <si>
    <t>BK00120</t>
  </si>
  <si>
    <t>CUST4957</t>
  </si>
  <si>
    <t>BK00145</t>
  </si>
  <si>
    <t>CUST1381</t>
  </si>
  <si>
    <t>BK00225</t>
  </si>
  <si>
    <t>CUST3956</t>
  </si>
  <si>
    <t>BK00355</t>
  </si>
  <si>
    <t>CUST8056</t>
  </si>
  <si>
    <t>BK00097</t>
  </si>
  <si>
    <t>CUST8730</t>
  </si>
  <si>
    <t>BK00131</t>
  </si>
  <si>
    <t>CUST3249</t>
  </si>
  <si>
    <t>BK00244</t>
  </si>
  <si>
    <t>CUST9340</t>
  </si>
  <si>
    <t>BK00094</t>
  </si>
  <si>
    <t>CUST4412</t>
  </si>
  <si>
    <t>BK00162</t>
  </si>
  <si>
    <t>CUST5672</t>
  </si>
  <si>
    <t>BK00272</t>
  </si>
  <si>
    <t>CUST6302</t>
  </si>
  <si>
    <t>BK00315</t>
  </si>
  <si>
    <t>CUST3401</t>
  </si>
  <si>
    <t>BK00045</t>
  </si>
  <si>
    <t>CUST6332</t>
  </si>
  <si>
    <t>BK00133</t>
  </si>
  <si>
    <t>CUST9988</t>
  </si>
  <si>
    <t>BK00253</t>
  </si>
  <si>
    <t>CUST1905</t>
  </si>
  <si>
    <t>BK00082</t>
  </si>
  <si>
    <t>CUST1078</t>
  </si>
  <si>
    <t>BK00207</t>
  </si>
  <si>
    <t>CUST2612</t>
  </si>
  <si>
    <t>BK00358</t>
  </si>
  <si>
    <t>CUST1578</t>
  </si>
  <si>
    <t>BK00129</t>
  </si>
  <si>
    <t>CUST4954</t>
  </si>
  <si>
    <t>BK00216</t>
  </si>
  <si>
    <t>CUST7381</t>
  </si>
  <si>
    <t>BK00220</t>
  </si>
  <si>
    <t>CUST8974</t>
  </si>
  <si>
    <t>BK00227</t>
  </si>
  <si>
    <t>CUST3001</t>
  </si>
  <si>
    <t>BK00466</t>
  </si>
  <si>
    <t>CUST1687</t>
  </si>
  <si>
    <t>BK00069</t>
  </si>
  <si>
    <t>CUST7862</t>
  </si>
  <si>
    <t>BK00349</t>
  </si>
  <si>
    <t>CUST6577</t>
  </si>
  <si>
    <t>BK00002</t>
  </si>
  <si>
    <t>CUST5751</t>
  </si>
  <si>
    <t>BK00189</t>
  </si>
  <si>
    <t>CUST9129</t>
  </si>
  <si>
    <t>BK00214</t>
  </si>
  <si>
    <t>CUST7388</t>
  </si>
  <si>
    <t>BK00221</t>
  </si>
  <si>
    <t>CUST6580</t>
  </si>
  <si>
    <t>BK00223</t>
  </si>
  <si>
    <t>CUST7978</t>
  </si>
  <si>
    <t>BK00493</t>
  </si>
  <si>
    <t>CUST3369</t>
  </si>
  <si>
    <t>BK00149</t>
  </si>
  <si>
    <t>CUST9759</t>
  </si>
  <si>
    <t>BK00169</t>
  </si>
  <si>
    <t>CUST2286</t>
  </si>
  <si>
    <t>BK00195</t>
  </si>
  <si>
    <t>CUST8342</t>
  </si>
  <si>
    <t>BK00010</t>
  </si>
  <si>
    <t>CUST3135</t>
  </si>
  <si>
    <t>BK00028</t>
  </si>
  <si>
    <t>CUST6510</t>
  </si>
  <si>
    <t>BK00100</t>
  </si>
  <si>
    <t>CUST9205</t>
  </si>
  <si>
    <t>BK00166</t>
  </si>
  <si>
    <t>CUST2298</t>
  </si>
  <si>
    <t>BK00237</t>
  </si>
  <si>
    <t>CUST2715</t>
  </si>
  <si>
    <t>BK00303</t>
  </si>
  <si>
    <t>CUST1031</t>
  </si>
  <si>
    <t>BK00488</t>
  </si>
  <si>
    <t>CUST1770</t>
  </si>
  <si>
    <t>BK00499</t>
  </si>
  <si>
    <t>CUST3890</t>
  </si>
  <si>
    <t>BK00034</t>
  </si>
  <si>
    <t>CUST4276</t>
  </si>
  <si>
    <t>BK00052</t>
  </si>
  <si>
    <t>CUST3416</t>
  </si>
  <si>
    <t>BK00304</t>
  </si>
  <si>
    <t>CUST3504</t>
  </si>
  <si>
    <t>BK00142</t>
  </si>
  <si>
    <t>CUST5408</t>
  </si>
  <si>
    <t>BK00184</t>
  </si>
  <si>
    <t>CUST9769</t>
  </si>
  <si>
    <t>BK00202</t>
  </si>
  <si>
    <t>CUST8972</t>
  </si>
  <si>
    <t>BK00212</t>
  </si>
  <si>
    <t>CUST5680</t>
  </si>
  <si>
    <t>BK00226</t>
  </si>
  <si>
    <t>CUST4974</t>
  </si>
  <si>
    <t>BK00416</t>
  </si>
  <si>
    <t>CUST8355</t>
  </si>
  <si>
    <t>BK00473</t>
  </si>
  <si>
    <t>CUST1995</t>
  </si>
  <si>
    <t>BK00143</t>
  </si>
  <si>
    <t>CUST9424</t>
  </si>
  <si>
    <t>BK00211</t>
  </si>
  <si>
    <t>CUST5420</t>
  </si>
  <si>
    <t>BK00243</t>
  </si>
  <si>
    <t>CUST5938</t>
  </si>
  <si>
    <t>BK00263</t>
  </si>
  <si>
    <t>CUST5791</t>
  </si>
  <si>
    <t>BK00310</t>
  </si>
  <si>
    <t>CUST5744</t>
  </si>
  <si>
    <t>BK00359</t>
  </si>
  <si>
    <t>CUST6662</t>
  </si>
  <si>
    <t>BK00038</t>
  </si>
  <si>
    <t>CUST2933</t>
  </si>
  <si>
    <t>BK00453</t>
  </si>
  <si>
    <t>CUST3429</t>
  </si>
  <si>
    <t>BK00084</t>
  </si>
  <si>
    <t>CUST8762</t>
  </si>
  <si>
    <t>BK00088</t>
  </si>
  <si>
    <t>CUST9101</t>
  </si>
  <si>
    <t>BK00105</t>
  </si>
  <si>
    <t>CUST5930</t>
  </si>
  <si>
    <t>BK00173</t>
  </si>
  <si>
    <t>CUST7127</t>
  </si>
  <si>
    <t>BK00368</t>
  </si>
  <si>
    <t>CUST8811</t>
  </si>
  <si>
    <t>BK00396</t>
  </si>
  <si>
    <t>CUST1693</t>
  </si>
  <si>
    <t>BK00417</t>
  </si>
  <si>
    <t>CUST2555</t>
  </si>
  <si>
    <t>BK00418</t>
  </si>
  <si>
    <t>CUST3924</t>
  </si>
  <si>
    <t>BK00071</t>
  </si>
  <si>
    <t>CUST4182</t>
  </si>
  <si>
    <t>BK00128</t>
  </si>
  <si>
    <t>CUST7602</t>
  </si>
  <si>
    <t>BK00256</t>
  </si>
  <si>
    <t>CUST4143</t>
  </si>
  <si>
    <t>BK00399</t>
  </si>
  <si>
    <t>CUST6894</t>
  </si>
  <si>
    <t>BK00435</t>
  </si>
  <si>
    <t>CUST8720</t>
  </si>
  <si>
    <t>BK00152</t>
  </si>
  <si>
    <t>CUST8323</t>
  </si>
  <si>
    <t>BK00352</t>
  </si>
  <si>
    <t>CUST9803</t>
  </si>
  <si>
    <t>BK00375</t>
  </si>
  <si>
    <t>CUST3163</t>
  </si>
  <si>
    <t>BK00376</t>
  </si>
  <si>
    <t>CUST8932</t>
  </si>
  <si>
    <t>BK00064</t>
  </si>
  <si>
    <t>CUST5937</t>
  </si>
  <si>
    <t>BK00123</t>
  </si>
  <si>
    <t>CUST5135</t>
  </si>
  <si>
    <t>BK00331</t>
  </si>
  <si>
    <t>CUST3535</t>
  </si>
  <si>
    <t>BK00366</t>
  </si>
  <si>
    <t>CUST3562</t>
  </si>
  <si>
    <t>BK00033</t>
  </si>
  <si>
    <t>CUST9894</t>
  </si>
  <si>
    <t>BK00230</t>
  </si>
  <si>
    <t>CUST6306</t>
  </si>
  <si>
    <t>BK00295</t>
  </si>
  <si>
    <t>CUST5636</t>
  </si>
  <si>
    <t>BK00337</t>
  </si>
  <si>
    <t>CUST3431</t>
  </si>
  <si>
    <t>BK00364</t>
  </si>
  <si>
    <t>CUST6219</t>
  </si>
  <si>
    <t>BK00487</t>
  </si>
  <si>
    <t>CUST1590</t>
  </si>
  <si>
    <t>BK00021</t>
  </si>
  <si>
    <t>CUST9647</t>
  </si>
  <si>
    <t>BK00058</t>
  </si>
  <si>
    <t>CUST2249</t>
  </si>
  <si>
    <t>BK00101</t>
  </si>
  <si>
    <t>CUST1982</t>
  </si>
  <si>
    <t>BK00127</t>
  </si>
  <si>
    <t>CUST5414</t>
  </si>
  <si>
    <t>BK00424</t>
  </si>
  <si>
    <t>CUST3943</t>
  </si>
  <si>
    <t>BK00457</t>
  </si>
  <si>
    <t>BK00469</t>
  </si>
  <si>
    <t>CUST1514</t>
  </si>
  <si>
    <t>BK00001</t>
  </si>
  <si>
    <t>CUST2856</t>
  </si>
  <si>
    <t>BK00046</t>
  </si>
  <si>
    <t>CUST1190</t>
  </si>
  <si>
    <t>BK00140</t>
  </si>
  <si>
    <t>CUST4846</t>
  </si>
  <si>
    <t>BK00233</t>
  </si>
  <si>
    <t>CUST4647</t>
  </si>
  <si>
    <t>BK00239</t>
  </si>
  <si>
    <t>CUST4036</t>
  </si>
  <si>
    <t>BK00051</t>
  </si>
  <si>
    <t>CUST9384</t>
  </si>
  <si>
    <t>BK00095</t>
  </si>
  <si>
    <t>CUST2587</t>
  </si>
  <si>
    <t>BK00117</t>
  </si>
  <si>
    <t>CUST8334</t>
  </si>
  <si>
    <t>BK00213</t>
  </si>
  <si>
    <t>CUST6721</t>
  </si>
  <si>
    <t>BK00302</t>
  </si>
  <si>
    <t>CUST7847</t>
  </si>
  <si>
    <t>BK00318</t>
  </si>
  <si>
    <t>CUST1385</t>
  </si>
  <si>
    <t>BK00420</t>
  </si>
  <si>
    <t>CUST5868</t>
  </si>
  <si>
    <t>BK00491</t>
  </si>
  <si>
    <t>CUST7770</t>
  </si>
  <si>
    <t>BK00029</t>
  </si>
  <si>
    <t>CUST8683</t>
  </si>
  <si>
    <t>BK00154</t>
  </si>
  <si>
    <t>CUST6015</t>
  </si>
  <si>
    <t>BK00193</t>
  </si>
  <si>
    <t>CUST6357</t>
  </si>
  <si>
    <t>BK00278</t>
  </si>
  <si>
    <t>CUST3717</t>
  </si>
  <si>
    <t>BK00294</t>
  </si>
  <si>
    <t>CUST4616</t>
  </si>
  <si>
    <t>BK00300</t>
  </si>
  <si>
    <t>CUST6473</t>
  </si>
  <si>
    <t>BK00373</t>
  </si>
  <si>
    <t>CUST4340</t>
  </si>
  <si>
    <t>BK00008</t>
  </si>
  <si>
    <t>CUST1235</t>
  </si>
  <si>
    <t>BK00067</t>
  </si>
  <si>
    <t>CUST5327</t>
  </si>
  <si>
    <t>BK00113</t>
  </si>
  <si>
    <t>CUST5370</t>
  </si>
  <si>
    <t>BK00187</t>
  </si>
  <si>
    <t>CUST1703</t>
  </si>
  <si>
    <t>BK00281</t>
  </si>
  <si>
    <t>CUST9627</t>
  </si>
  <si>
    <t>BK00438</t>
  </si>
  <si>
    <t>CUST2372</t>
  </si>
  <si>
    <t>BK00456</t>
  </si>
  <si>
    <t>CUST7832</t>
  </si>
  <si>
    <t>BK00136</t>
  </si>
  <si>
    <t>CUST9752</t>
  </si>
  <si>
    <t>BK00191</t>
  </si>
  <si>
    <t>CUST4064</t>
  </si>
  <si>
    <t>BK00247</t>
  </si>
  <si>
    <t>CUST7914</t>
  </si>
  <si>
    <t>BK00449</t>
  </si>
  <si>
    <t>CUST3909</t>
  </si>
  <si>
    <t>BK00485</t>
  </si>
  <si>
    <t>CUST3437</t>
  </si>
  <si>
    <t>BK00500</t>
  </si>
  <si>
    <t>CUST1035</t>
  </si>
  <si>
    <t>BK00062</t>
  </si>
  <si>
    <t>CUST9867</t>
  </si>
  <si>
    <t>BK00103</t>
  </si>
  <si>
    <t>CUST3855</t>
  </si>
  <si>
    <t>BK00276</t>
  </si>
  <si>
    <t>CUST1842</t>
  </si>
  <si>
    <t>BK00297</t>
  </si>
  <si>
    <t>CUST7783</t>
  </si>
  <si>
    <t>BK00391</t>
  </si>
  <si>
    <t>CUST7218</t>
  </si>
  <si>
    <t>BK00495</t>
  </si>
  <si>
    <t>CUST1000</t>
  </si>
  <si>
    <t>BK00085</t>
  </si>
  <si>
    <t>CUST3663</t>
  </si>
  <si>
    <t>BK00234</t>
  </si>
  <si>
    <t>CUST1307</t>
  </si>
  <si>
    <t>BK00251</t>
  </si>
  <si>
    <t>BK00363</t>
  </si>
  <si>
    <t>CUST9187</t>
  </si>
  <si>
    <t>BK00378</t>
  </si>
  <si>
    <t>CUST7706</t>
  </si>
  <si>
    <t>BK00481</t>
  </si>
  <si>
    <t>CUST1954</t>
  </si>
  <si>
    <t>BK00031</t>
  </si>
  <si>
    <t>CUST7967</t>
  </si>
  <si>
    <t>BK00055</t>
  </si>
  <si>
    <t>CUST4595</t>
  </si>
  <si>
    <t>BK00081</t>
  </si>
  <si>
    <t>CUST5400</t>
  </si>
  <si>
    <t>BK00141</t>
  </si>
  <si>
    <t>CUST3189</t>
  </si>
  <si>
    <t>BK00163</t>
  </si>
  <si>
    <t>CUST5632</t>
  </si>
  <si>
    <t>BK00413</t>
  </si>
  <si>
    <t>CUST7498</t>
  </si>
  <si>
    <t>BK00076</t>
  </si>
  <si>
    <t>CUST4531</t>
  </si>
  <si>
    <t>BK00275</t>
  </si>
  <si>
    <t>CUST6447</t>
  </si>
  <si>
    <t>BK00380</t>
  </si>
  <si>
    <t>CUST8985</t>
  </si>
  <si>
    <t>BK00455</t>
  </si>
  <si>
    <t>CUST1269</t>
  </si>
  <si>
    <t>BK00018</t>
  </si>
  <si>
    <t>CUST1537</t>
  </si>
  <si>
    <t>BK00087</t>
  </si>
  <si>
    <t>CUST3307</t>
  </si>
  <si>
    <t>BK00147</t>
  </si>
  <si>
    <t>CUST2169</t>
  </si>
  <si>
    <t>BK00158</t>
  </si>
  <si>
    <t>CUST7300</t>
  </si>
  <si>
    <t>BK00282</t>
  </si>
  <si>
    <t>CUST6164</t>
  </si>
  <si>
    <t>BK00312</t>
  </si>
  <si>
    <t>CUST5829</t>
  </si>
  <si>
    <t>BK00319</t>
  </si>
  <si>
    <t>CUST4337</t>
  </si>
  <si>
    <t>BK00342</t>
  </si>
  <si>
    <t>CUST7426</t>
  </si>
  <si>
    <t>BK00393</t>
  </si>
  <si>
    <t>CUST6488</t>
  </si>
  <si>
    <t>BK00080</t>
  </si>
  <si>
    <t>CUST8395</t>
  </si>
  <si>
    <t>BK00109</t>
  </si>
  <si>
    <t>CUST1082</t>
  </si>
  <si>
    <t>BK00336</t>
  </si>
  <si>
    <t>CUST3413</t>
  </si>
  <si>
    <t>BK00419</t>
  </si>
  <si>
    <t>CUST8326</t>
  </si>
  <si>
    <t>BK00498</t>
  </si>
  <si>
    <t>CUST2282</t>
  </si>
  <si>
    <t>BK00286</t>
  </si>
  <si>
    <t>CUST6908</t>
  </si>
  <si>
    <t>BK00422</t>
  </si>
  <si>
    <t>CUST9574</t>
  </si>
  <si>
    <t>BK00039</t>
  </si>
  <si>
    <t>CUST4129</t>
  </si>
  <si>
    <t>BK00115</t>
  </si>
  <si>
    <t>CUST7957</t>
  </si>
  <si>
    <t>BK00159</t>
  </si>
  <si>
    <t>CUST3726</t>
  </si>
  <si>
    <t>BK00299</t>
  </si>
  <si>
    <t>CUST7393</t>
  </si>
  <si>
    <t>BK00350</t>
  </si>
  <si>
    <t>CUST7689</t>
  </si>
  <si>
    <t>BK00476</t>
  </si>
  <si>
    <t>CUST1758</t>
  </si>
  <si>
    <t>BK00004</t>
  </si>
  <si>
    <t>CUST5384</t>
  </si>
  <si>
    <t>BK00043</t>
  </si>
  <si>
    <t>CUST2374</t>
  </si>
  <si>
    <t>BK00316</t>
  </si>
  <si>
    <t>CUST5005</t>
  </si>
  <si>
    <t>BK00353</t>
  </si>
  <si>
    <t>CUST7251</t>
  </si>
  <si>
    <t>BK00398</t>
  </si>
  <si>
    <t>CUST1988</t>
  </si>
  <si>
    <t>BK00492</t>
  </si>
  <si>
    <t>CUST9209</t>
  </si>
  <si>
    <t>BK00041</t>
  </si>
  <si>
    <t>BK00119</t>
  </si>
  <si>
    <t>CUST1053</t>
  </si>
  <si>
    <t>BK00132</t>
  </si>
  <si>
    <t>CUST4513</t>
  </si>
  <si>
    <t>BK00205</t>
  </si>
  <si>
    <t>CUST5577</t>
  </si>
  <si>
    <t>BK00231</t>
  </si>
  <si>
    <t>CUST4813</t>
  </si>
  <si>
    <t>BK00262</t>
  </si>
  <si>
    <t>CUST4069</t>
  </si>
  <si>
    <t>BK00317</t>
  </si>
  <si>
    <t>CUST5661</t>
  </si>
  <si>
    <t>BK00356</t>
  </si>
  <si>
    <t>CUST4740</t>
  </si>
  <si>
    <t>BK00442</t>
  </si>
  <si>
    <t>CUST1987</t>
  </si>
  <si>
    <t>BK00464</t>
  </si>
  <si>
    <t>CUST1556</t>
  </si>
  <si>
    <t>BK00480</t>
  </si>
  <si>
    <t>CUST8106</t>
  </si>
  <si>
    <t>BK00044</t>
  </si>
  <si>
    <t>CUST8494</t>
  </si>
  <si>
    <t>BK00070</t>
  </si>
  <si>
    <t>CUST9828</t>
  </si>
  <si>
    <t>BK00099</t>
  </si>
  <si>
    <t>CUST9975</t>
  </si>
  <si>
    <t>BK00161</t>
  </si>
  <si>
    <t>CUST2119</t>
  </si>
  <si>
    <t>BK00174</t>
  </si>
  <si>
    <t>CUST3972</t>
  </si>
  <si>
    <t>BK00269</t>
  </si>
  <si>
    <t>CUST2507</t>
  </si>
  <si>
    <t>BK00106</t>
  </si>
  <si>
    <t>CUST4272</t>
  </si>
  <si>
    <t>BK00246</t>
  </si>
  <si>
    <t>CUST8782</t>
  </si>
  <si>
    <t>BK00283</t>
  </si>
  <si>
    <t>CUST2191</t>
  </si>
  <si>
    <t>BK00339</t>
  </si>
  <si>
    <t>CUST1469</t>
  </si>
  <si>
    <t>BK00017</t>
  </si>
  <si>
    <t>CUST8331</t>
  </si>
  <si>
    <t>BK00022</t>
  </si>
  <si>
    <t>CUST7864</t>
  </si>
  <si>
    <t>BK00027</t>
  </si>
  <si>
    <t>CUST7773</t>
  </si>
  <si>
    <t>BK00200</t>
  </si>
  <si>
    <t>CUST1098</t>
  </si>
  <si>
    <t>BK00367</t>
  </si>
  <si>
    <t>CUST2677</t>
  </si>
  <si>
    <t>BK00030</t>
  </si>
  <si>
    <t>CUST4001</t>
  </si>
  <si>
    <t>BK00108</t>
  </si>
  <si>
    <t>CUST6463</t>
  </si>
  <si>
    <t>BK00190</t>
  </si>
  <si>
    <t>CUST2683</t>
  </si>
  <si>
    <t>BK00345</t>
  </si>
  <si>
    <t>BK00388</t>
  </si>
  <si>
    <t>CUST9629</t>
  </si>
  <si>
    <t>BK00049</t>
  </si>
  <si>
    <t>CUST3826</t>
  </si>
  <si>
    <t>BK00114</t>
  </si>
  <si>
    <t>CUST4359</t>
  </si>
  <si>
    <t>BK00228</t>
  </si>
  <si>
    <t>CUST2526</t>
  </si>
  <si>
    <t>BK00406</t>
  </si>
  <si>
    <t>CUST9901</t>
  </si>
  <si>
    <t>BK00431</t>
  </si>
  <si>
    <t>CUST5825</t>
  </si>
  <si>
    <t>BK00020</t>
  </si>
  <si>
    <t>CUST6838</t>
  </si>
  <si>
    <t>BK00083</t>
  </si>
  <si>
    <t>CUST1924</t>
  </si>
  <si>
    <t>BK00093</t>
  </si>
  <si>
    <t>CUST4171</t>
  </si>
  <si>
    <t>BK00344</t>
  </si>
  <si>
    <t>CUST5651</t>
  </si>
  <si>
    <t>BK00428</t>
  </si>
  <si>
    <t>CUST4409</t>
  </si>
  <si>
    <t>BK00125</t>
  </si>
  <si>
    <t>CUST7790</t>
  </si>
  <si>
    <t>BK00155</t>
  </si>
  <si>
    <t>CUST3634</t>
  </si>
  <si>
    <t>BK00271</t>
  </si>
  <si>
    <t>CUST6912</t>
  </si>
  <si>
    <t>BK00429</t>
  </si>
  <si>
    <t>CUST2642</t>
  </si>
  <si>
    <t>BK00463</t>
  </si>
  <si>
    <t>CUST1730</t>
  </si>
  <si>
    <t>BK00250</t>
  </si>
  <si>
    <t>CUST3174</t>
  </si>
  <si>
    <t>BK00379</t>
  </si>
  <si>
    <t>CUST1789</t>
  </si>
  <si>
    <t>BK00430</t>
  </si>
  <si>
    <t>CUST6120</t>
  </si>
  <si>
    <t>BK00496</t>
  </si>
  <si>
    <t>CUST7935</t>
  </si>
  <si>
    <t>BK00007</t>
  </si>
  <si>
    <t>CUST9555</t>
  </si>
  <si>
    <t>BK00061</t>
  </si>
  <si>
    <t>CUST4389</t>
  </si>
  <si>
    <t>BK00165</t>
  </si>
  <si>
    <t>CUST4849</t>
  </si>
  <si>
    <t>BK00248</t>
  </si>
  <si>
    <t>CUST8848</t>
  </si>
  <si>
    <t>BK00329</t>
  </si>
  <si>
    <t>CUST5973</t>
  </si>
  <si>
    <t>BK00484</t>
  </si>
  <si>
    <t>CUST7326</t>
  </si>
  <si>
    <t>BK00107</t>
  </si>
  <si>
    <t>CUST7917</t>
  </si>
  <si>
    <t>BK00333</t>
  </si>
  <si>
    <t>CUST6766</t>
  </si>
  <si>
    <t>BK00357</t>
  </si>
  <si>
    <t>CUST2046</t>
  </si>
  <si>
    <t>BK00073</t>
  </si>
  <si>
    <t>CUST2003</t>
  </si>
  <si>
    <t>BK00126</t>
  </si>
  <si>
    <t>CUST2922</t>
  </si>
  <si>
    <t>BK00188</t>
  </si>
  <si>
    <t>CUST5790</t>
  </si>
  <si>
    <t>BK00194</t>
  </si>
  <si>
    <t>CUST5236</t>
  </si>
  <si>
    <t>BK00264</t>
  </si>
  <si>
    <t>CUST5812</t>
  </si>
  <si>
    <t>BK00267</t>
  </si>
  <si>
    <t>CUST4101</t>
  </si>
  <si>
    <t>BK00311</t>
  </si>
  <si>
    <t>CUST5096</t>
  </si>
  <si>
    <t>BK00401</t>
  </si>
  <si>
    <t>CUST7763</t>
  </si>
  <si>
    <t>BK00454</t>
  </si>
  <si>
    <t>CUST4243</t>
  </si>
  <si>
    <t>BK00016</t>
  </si>
  <si>
    <t>CUST4688</t>
  </si>
  <si>
    <t>BK00091</t>
  </si>
  <si>
    <t>CUST3236</t>
  </si>
  <si>
    <t>BK00232</t>
  </si>
  <si>
    <t>CUST9758</t>
  </si>
  <si>
    <t>BK00314</t>
  </si>
  <si>
    <t>CUST5407</t>
  </si>
  <si>
    <t>BK00332</t>
  </si>
  <si>
    <t>CUST8475</t>
  </si>
  <si>
    <t>BK00403</t>
  </si>
  <si>
    <t>CUST2411</t>
  </si>
  <si>
    <t>BK00477</t>
  </si>
  <si>
    <t>CUST4778</t>
  </si>
  <si>
    <t>BK00146</t>
  </si>
  <si>
    <t>CUST4701</t>
  </si>
  <si>
    <t>BK00285</t>
  </si>
  <si>
    <t>CUST3196</t>
  </si>
  <si>
    <t>BK00308</t>
  </si>
  <si>
    <t>CUST5876</t>
  </si>
  <si>
    <t>BK00340</t>
  </si>
  <si>
    <t>CUST2015</t>
  </si>
  <si>
    <t>BK00405</t>
  </si>
  <si>
    <t>CUST2310</t>
  </si>
  <si>
    <t>BK00459</t>
  </si>
  <si>
    <t>CUST9880</t>
  </si>
  <si>
    <t>BK00475</t>
  </si>
  <si>
    <t>CUST1076</t>
  </si>
  <si>
    <t>BK00066</t>
  </si>
  <si>
    <t>CUST8550</t>
  </si>
  <si>
    <t>BK00074</t>
  </si>
  <si>
    <t>CUST4252</t>
  </si>
  <si>
    <t>BK00208</t>
  </si>
  <si>
    <t>CUST8196</t>
  </si>
  <si>
    <t>BK00291</t>
  </si>
  <si>
    <t>CUST9362</t>
  </si>
  <si>
    <t>BK00322</t>
  </si>
  <si>
    <t>CUST2232</t>
  </si>
  <si>
    <t>BK00372</t>
  </si>
  <si>
    <t>CUST7529</t>
  </si>
  <si>
    <t>BK00390</t>
  </si>
  <si>
    <t>CUST8416</t>
  </si>
  <si>
    <t>BK00414</t>
  </si>
  <si>
    <t>CUST9228</t>
  </si>
  <si>
    <t>BK00423</t>
  </si>
  <si>
    <t>CUST9618</t>
  </si>
  <si>
    <t>BK00096</t>
  </si>
  <si>
    <t>CUST3840</t>
  </si>
  <si>
    <t>BK00197</t>
  </si>
  <si>
    <t>CUST5926</t>
  </si>
  <si>
    <t>BK00280</t>
  </si>
  <si>
    <t>CUST5185</t>
  </si>
  <si>
    <t>BK00301</t>
  </si>
  <si>
    <t>BK00361</t>
  </si>
  <si>
    <t>CUST9554</t>
  </si>
  <si>
    <t>BK00407</t>
  </si>
  <si>
    <t>BK00443</t>
  </si>
  <si>
    <t>CUST7540</t>
  </si>
  <si>
    <t>BK00448</t>
  </si>
  <si>
    <t>CUST9608</t>
  </si>
  <si>
    <t>BK00451</t>
  </si>
  <si>
    <t>CUST8385</t>
  </si>
  <si>
    <t>BK00486</t>
  </si>
  <si>
    <t>CUST5529</t>
  </si>
  <si>
    <t>BK00121</t>
  </si>
  <si>
    <t>CUST7942</t>
  </si>
  <si>
    <t>BK00203</t>
  </si>
  <si>
    <t>CUST5334</t>
  </si>
  <si>
    <t>BK00210</t>
  </si>
  <si>
    <t>CUST6361</t>
  </si>
  <si>
    <t>BK00330</t>
  </si>
  <si>
    <t>CUST7564</t>
  </si>
  <si>
    <t>BK00402</t>
  </si>
  <si>
    <t>CUST3556</t>
  </si>
  <si>
    <t>BK00490</t>
  </si>
  <si>
    <t>CUST7884</t>
  </si>
  <si>
    <t>BK00012</t>
  </si>
  <si>
    <t>CUST4210</t>
  </si>
  <si>
    <t>BK00035</t>
  </si>
  <si>
    <t>CUST9471</t>
  </si>
  <si>
    <t>BK00206</t>
  </si>
  <si>
    <t>CUST5353</t>
  </si>
  <si>
    <t>BK00290</t>
  </si>
  <si>
    <t>CUST7466</t>
  </si>
  <si>
    <t>BK00313</t>
  </si>
  <si>
    <t>CUST8570</t>
  </si>
  <si>
    <t>BK00327</t>
  </si>
  <si>
    <t>CUST6141</t>
  </si>
  <si>
    <t>BK00360</t>
  </si>
  <si>
    <t>CUST1503</t>
  </si>
  <si>
    <t>BK00483</t>
  </si>
  <si>
    <t>CUST6566</t>
  </si>
  <si>
    <t>BK00156</t>
  </si>
  <si>
    <t>CUST1623</t>
  </si>
  <si>
    <t>BK00160</t>
  </si>
  <si>
    <t>CUST5108</t>
  </si>
  <si>
    <t>BK00185</t>
  </si>
  <si>
    <t>CUST6556</t>
  </si>
  <si>
    <t>BK00222</t>
  </si>
  <si>
    <t>CUST4859</t>
  </si>
  <si>
    <t>BK00249</t>
  </si>
  <si>
    <t>CUST4194</t>
  </si>
  <si>
    <t>BK00306</t>
  </si>
  <si>
    <t>CUST3527</t>
  </si>
  <si>
    <t>BK00365</t>
  </si>
  <si>
    <t>CUST7075</t>
  </si>
  <si>
    <t>BK00389</t>
  </si>
  <si>
    <t>CUST8359</t>
  </si>
  <si>
    <t>BK00470</t>
  </si>
  <si>
    <t>CUST7329</t>
  </si>
  <si>
    <t>BK00478</t>
  </si>
  <si>
    <t>CUST5291</t>
  </si>
  <si>
    <t>BK00157</t>
  </si>
  <si>
    <t>CUST5971</t>
  </si>
  <si>
    <t>BK00326</t>
  </si>
  <si>
    <t>CUST5808</t>
  </si>
  <si>
    <t>BK00328</t>
  </si>
  <si>
    <t>CUST1297</t>
  </si>
  <si>
    <t>BK00397</t>
  </si>
  <si>
    <t>CUST8377</t>
  </si>
  <si>
    <t>BK00009</t>
  </si>
  <si>
    <t>CUST9997</t>
  </si>
  <si>
    <t>BK00077</t>
  </si>
  <si>
    <t>BK00199</t>
  </si>
  <si>
    <t>CUST1322</t>
  </si>
  <si>
    <t>BK00217</t>
  </si>
  <si>
    <t>BK00229</t>
  </si>
  <si>
    <t>CUST6046</t>
  </si>
  <si>
    <t>BK00287</t>
  </si>
  <si>
    <t>CUST4563</t>
  </si>
  <si>
    <t>BK00296</t>
  </si>
  <si>
    <t>CUST6654</t>
  </si>
  <si>
    <t>BK00309</t>
  </si>
  <si>
    <t>CUST1373</t>
  </si>
  <si>
    <t>BK00409</t>
  </si>
  <si>
    <t>CUST6327</t>
  </si>
  <si>
    <t>BK00425</t>
  </si>
  <si>
    <t>CUST3667</t>
  </si>
  <si>
    <t>BK00445</t>
  </si>
  <si>
    <t>CUST2037</t>
  </si>
  <si>
    <t>BK00057</t>
  </si>
  <si>
    <t>CUST3939</t>
  </si>
  <si>
    <t>BK00284</t>
  </si>
  <si>
    <t>CUST7630</t>
  </si>
  <si>
    <t>BK00461</t>
  </si>
  <si>
    <t>CUST7260</t>
  </si>
  <si>
    <t>BK00482</t>
  </si>
  <si>
    <t>CUST1043</t>
  </si>
  <si>
    <t>BK00003</t>
  </si>
  <si>
    <t>CUST4045</t>
  </si>
  <si>
    <t>BK00037</t>
  </si>
  <si>
    <t>CUST1296</t>
  </si>
  <si>
    <t>BK00060</t>
  </si>
  <si>
    <t>CUST7224</t>
  </si>
  <si>
    <t>BK00063</t>
  </si>
  <si>
    <t>CUST1737</t>
  </si>
  <si>
    <t>BK00175</t>
  </si>
  <si>
    <t>CUST2268</t>
  </si>
  <si>
    <t>BK00241</t>
  </si>
  <si>
    <t>CUST6175</t>
  </si>
  <si>
    <t>BK00320</t>
  </si>
  <si>
    <t>CUST2725</t>
  </si>
  <si>
    <t>BK00474</t>
  </si>
  <si>
    <t>CUST6571</t>
  </si>
  <si>
    <t>BK00065</t>
  </si>
  <si>
    <t>CUST3473</t>
  </si>
  <si>
    <t>BK00098</t>
  </si>
  <si>
    <t>CUST8477</t>
  </si>
  <si>
    <t>BK00111</t>
  </si>
  <si>
    <t>CUST7888</t>
  </si>
  <si>
    <t>BK00122</t>
  </si>
  <si>
    <t>CUST2234</t>
  </si>
  <si>
    <t>BK00167</t>
  </si>
  <si>
    <t>CUST6718</t>
  </si>
  <si>
    <t>BK00178</t>
  </si>
  <si>
    <t>CUST4208</t>
  </si>
  <si>
    <t>BK00370</t>
  </si>
  <si>
    <t>CUST1852</t>
  </si>
  <si>
    <t>BK00059</t>
  </si>
  <si>
    <t>CUST6836</t>
  </si>
  <si>
    <t>BK00124</t>
  </si>
  <si>
    <t>CUST7369</t>
  </si>
  <si>
    <t>BK00198</t>
  </si>
  <si>
    <t>CUST3014</t>
  </si>
  <si>
    <t>BK00110</t>
  </si>
  <si>
    <t>CUST2226</t>
  </si>
  <si>
    <t>BK00118</t>
  </si>
  <si>
    <t>CUST6672</t>
  </si>
  <si>
    <t>BK00177</t>
  </si>
  <si>
    <t>CUST9936</t>
  </si>
  <si>
    <t>BK00181</t>
  </si>
  <si>
    <t>CUST7465</t>
  </si>
  <si>
    <t>BK00381</t>
  </si>
  <si>
    <t>CUST8309</t>
  </si>
  <si>
    <t>BK00497</t>
  </si>
  <si>
    <t>CUST3145</t>
  </si>
  <si>
    <t>BK00053</t>
  </si>
  <si>
    <t>CUST8973</t>
  </si>
  <si>
    <t>BK00090</t>
  </si>
  <si>
    <t>CUST4590</t>
  </si>
  <si>
    <t>BK00171</t>
  </si>
  <si>
    <t>CUST4220</t>
  </si>
  <si>
    <t>BK00176</t>
  </si>
  <si>
    <t>CUST4287</t>
  </si>
  <si>
    <t>BK00224</t>
  </si>
  <si>
    <t>CUST2213</t>
  </si>
  <si>
    <t>BK00383</t>
  </si>
  <si>
    <t>CUST4874</t>
  </si>
  <si>
    <t>BK00386</t>
  </si>
  <si>
    <t>BK00433</t>
  </si>
  <si>
    <t>CUST3989</t>
  </si>
  <si>
    <t>BK00023</t>
  </si>
  <si>
    <t>CUST3704</t>
  </si>
  <si>
    <t>BK00086</t>
  </si>
  <si>
    <t>CUST2210</t>
  </si>
  <si>
    <t>BK00134</t>
  </si>
  <si>
    <t>CUST4651</t>
  </si>
  <si>
    <t>BK00382</t>
  </si>
  <si>
    <t>CUST6603</t>
  </si>
  <si>
    <t>BK00387</t>
  </si>
  <si>
    <t>CUST3731</t>
  </si>
  <si>
    <t>BK00408</t>
  </si>
  <si>
    <t>CUST6186</t>
  </si>
  <si>
    <t>BK00450</t>
  </si>
  <si>
    <t>CUST1444</t>
  </si>
  <si>
    <t>BK00254</t>
  </si>
  <si>
    <t>CUST9168</t>
  </si>
  <si>
    <t>BK00268</t>
  </si>
  <si>
    <t>CUST5848</t>
  </si>
  <si>
    <t>BK00447</t>
  </si>
  <si>
    <t>CUST2088</t>
  </si>
  <si>
    <t>BK00458</t>
  </si>
  <si>
    <t>CUST7063</t>
  </si>
  <si>
    <t>BK00024</t>
  </si>
  <si>
    <t>CUST9160</t>
  </si>
  <si>
    <t>BK00040</t>
  </si>
  <si>
    <t>CUST3261</t>
  </si>
  <si>
    <t>BK00201</t>
  </si>
  <si>
    <t>CUST1773</t>
  </si>
  <si>
    <t>BK00432</t>
  </si>
  <si>
    <t>CUST1403</t>
  </si>
  <si>
    <t>BK00036</t>
  </si>
  <si>
    <t>CUST6880</t>
  </si>
  <si>
    <t>BK00078</t>
  </si>
  <si>
    <t>CUST3119</t>
  </si>
  <si>
    <t>BK00170</t>
  </si>
  <si>
    <t>CUST6251</t>
  </si>
  <si>
    <t>BK00245</t>
  </si>
  <si>
    <t>BK00377</t>
  </si>
  <si>
    <t>BK00116</t>
  </si>
  <si>
    <t>CUST6777</t>
  </si>
  <si>
    <t>BK00130</t>
  </si>
  <si>
    <t>CUST7199</t>
  </si>
  <si>
    <t>BK00277</t>
  </si>
  <si>
    <t>CUST9308</t>
  </si>
  <si>
    <t>BK00305</t>
  </si>
  <si>
    <t>CUST6499</t>
  </si>
  <si>
    <t>BK00411</t>
  </si>
  <si>
    <t>CUST8627</t>
  </si>
  <si>
    <t>BK00434</t>
  </si>
  <si>
    <t>CUST2774</t>
  </si>
  <si>
    <t>BK00135</t>
  </si>
  <si>
    <t>CUST9192</t>
  </si>
  <si>
    <t>BK00288</t>
  </si>
  <si>
    <t>CUST7324</t>
  </si>
  <si>
    <t>BK00307</t>
  </si>
  <si>
    <t>CUST9105</t>
  </si>
  <si>
    <t>BK00346</t>
  </si>
  <si>
    <t>CUST1950</t>
  </si>
  <si>
    <t>BK00421</t>
  </si>
  <si>
    <t>CUST3188</t>
  </si>
  <si>
    <t>BK00452</t>
  </si>
  <si>
    <t>CUST7698</t>
  </si>
  <si>
    <t>BK00005</t>
  </si>
  <si>
    <t>CUST8257</t>
  </si>
  <si>
    <t>BK00289</t>
  </si>
  <si>
    <t>CUST5975</t>
  </si>
  <si>
    <t>BK00394</t>
  </si>
  <si>
    <t>CUST9718</t>
  </si>
  <si>
    <t>BK00465</t>
  </si>
  <si>
    <t>CUST8976</t>
  </si>
  <si>
    <t>BK00479</t>
  </si>
  <si>
    <t>CUST9579</t>
  </si>
  <si>
    <t>BK00489</t>
  </si>
  <si>
    <t>CUST2542</t>
  </si>
  <si>
    <t>BK00006</t>
  </si>
  <si>
    <t>CUST6040</t>
  </si>
  <si>
    <t>BK00112</t>
  </si>
  <si>
    <t>CUST9676</t>
  </si>
  <si>
    <t>BK00148</t>
  </si>
  <si>
    <t>CUST9900</t>
  </si>
  <si>
    <t>BK00179</t>
  </si>
  <si>
    <t>CUST4140</t>
  </si>
  <si>
    <t>BK00196</t>
  </si>
  <si>
    <t>CUST4068</t>
  </si>
  <si>
    <t>BK00273</t>
  </si>
  <si>
    <t>CUST7963</t>
  </si>
  <si>
    <t>BK00321</t>
  </si>
  <si>
    <t>CUST9919</t>
  </si>
  <si>
    <t>BK00354</t>
  </si>
  <si>
    <t>CUST2632</t>
  </si>
  <si>
    <t>BK00362</t>
  </si>
  <si>
    <t>CUST1605</t>
  </si>
  <si>
    <t>BK00436</t>
  </si>
  <si>
    <t>CUST1873</t>
  </si>
  <si>
    <t>BK00446</t>
  </si>
  <si>
    <t>CUST6399</t>
  </si>
  <si>
    <t>BK00019</t>
  </si>
  <si>
    <t>CUST3551</t>
  </si>
  <si>
    <t>BK00186</t>
  </si>
  <si>
    <t>CUST9178</t>
  </si>
  <si>
    <t>BK00472</t>
  </si>
  <si>
    <t>BK00265</t>
  </si>
  <si>
    <t>CUST6824</t>
  </si>
  <si>
    <t>BK00270</t>
  </si>
  <si>
    <t>CUST2624</t>
  </si>
  <si>
    <t>BK00384</t>
  </si>
  <si>
    <t>CUST3379</t>
  </si>
  <si>
    <t>BK00400</t>
  </si>
  <si>
    <t>CUST2192</t>
  </si>
  <si>
    <t>BK00068</t>
  </si>
  <si>
    <t>CUST1937</t>
  </si>
  <si>
    <t>BK00325</t>
  </si>
  <si>
    <t>CUST6035</t>
  </si>
  <si>
    <t>BK00347</t>
  </si>
  <si>
    <t>CUST4298</t>
  </si>
  <si>
    <t>BK00369</t>
  </si>
  <si>
    <t>CUST1107</t>
  </si>
  <si>
    <t>BK00440</t>
  </si>
  <si>
    <t>CUST2322</t>
  </si>
  <si>
    <t>BK00444</t>
  </si>
  <si>
    <t>CUST5804</t>
  </si>
  <si>
    <t>BK00047</t>
  </si>
  <si>
    <t>CUST7866</t>
  </si>
  <si>
    <t>BK00089</t>
  </si>
  <si>
    <t>CUST9021</t>
  </si>
  <si>
    <t>BK00104</t>
  </si>
  <si>
    <t>CUST1752</t>
  </si>
  <si>
    <t>BK00150</t>
  </si>
  <si>
    <t>CUST7508</t>
  </si>
  <si>
    <t>BK00258</t>
  </si>
  <si>
    <t>CUST3108</t>
  </si>
  <si>
    <t>BK00338</t>
  </si>
  <si>
    <t>CUST7141</t>
  </si>
  <si>
    <t>BK00441</t>
  </si>
  <si>
    <t>BK00025</t>
  </si>
  <si>
    <t>CUST3191</t>
  </si>
  <si>
    <t>BK00102</t>
  </si>
  <si>
    <t>CUST1304</t>
  </si>
  <si>
    <t>BK00334</t>
  </si>
  <si>
    <t>CUST9557</t>
  </si>
  <si>
    <t>BK00412</t>
  </si>
  <si>
    <t>CUST2974</t>
  </si>
  <si>
    <t>BK00072</t>
  </si>
  <si>
    <t>BK00151</t>
  </si>
  <si>
    <t>CUST2673</t>
  </si>
  <si>
    <t>BK00209</t>
  </si>
  <si>
    <t>CUST4938</t>
  </si>
  <si>
    <t>BK00293</t>
  </si>
  <si>
    <t>BK00324</t>
  </si>
  <si>
    <t>CUST4580</t>
  </si>
  <si>
    <t>BK00471</t>
  </si>
  <si>
    <t>CUST4517</t>
  </si>
  <si>
    <t>BK00054</t>
  </si>
  <si>
    <t>CUST7005</t>
  </si>
  <si>
    <t>BK00144</t>
  </si>
  <si>
    <t>CUST9111</t>
  </si>
  <si>
    <t>BK00261</t>
  </si>
  <si>
    <t>CUST2216</t>
  </si>
  <si>
    <t>BK00371</t>
  </si>
  <si>
    <t>CUST9181</t>
  </si>
  <si>
    <t>BK00426</t>
  </si>
  <si>
    <t>CUST3339</t>
  </si>
  <si>
    <t>BK00048</t>
  </si>
  <si>
    <t>CUST3607</t>
  </si>
  <si>
    <t>BK00238</t>
  </si>
  <si>
    <t>CUST6512</t>
  </si>
  <si>
    <t>BK00468</t>
  </si>
  <si>
    <t>CUST1680</t>
  </si>
  <si>
    <t>BK00164</t>
  </si>
  <si>
    <t>CUST4691</t>
  </si>
  <si>
    <t>BK00192</t>
  </si>
  <si>
    <t>CUST1121</t>
  </si>
  <si>
    <t>BK00218</t>
  </si>
  <si>
    <t>CUST3142</t>
  </si>
  <si>
    <t>BK00266</t>
  </si>
  <si>
    <t>CUST8598</t>
  </si>
  <si>
    <t>BK00415</t>
  </si>
  <si>
    <t>CUST7814</t>
  </si>
  <si>
    <t>BK00437</t>
  </si>
  <si>
    <t>BK00460</t>
  </si>
  <si>
    <t>CUST8149</t>
  </si>
  <si>
    <t>BK00013</t>
  </si>
  <si>
    <t>CUST7116</t>
  </si>
  <si>
    <t>BK00153</t>
  </si>
  <si>
    <t>CUST8255</t>
  </si>
  <si>
    <t>BK00182</t>
  </si>
  <si>
    <t>CUST3565</t>
  </si>
  <si>
    <t>BK00274</t>
  </si>
  <si>
    <t>CUST3483</t>
  </si>
  <si>
    <t>BK00462</t>
  </si>
  <si>
    <t>CUST5508</t>
  </si>
  <si>
    <t>BK00494</t>
  </si>
  <si>
    <t>CUST2398</t>
  </si>
  <si>
    <t>BK00042</t>
  </si>
  <si>
    <t>CUST1844</t>
  </si>
  <si>
    <t>BK00075</t>
  </si>
  <si>
    <t>CUST9206</t>
  </si>
  <si>
    <t>BK00180</t>
  </si>
  <si>
    <t>CUST2247</t>
  </si>
  <si>
    <t>BK00242</t>
  </si>
  <si>
    <t>CUST9609</t>
  </si>
  <si>
    <t>BK00279</t>
  </si>
  <si>
    <t>CUST8688</t>
  </si>
  <si>
    <t>BK00323</t>
  </si>
  <si>
    <t>CUST6545</t>
  </si>
  <si>
    <t>BK00343</t>
  </si>
  <si>
    <t>CUST2116</t>
  </si>
  <si>
    <t>BK00374</t>
  </si>
  <si>
    <t>Discounted Booking</t>
  </si>
  <si>
    <t>Lenght Of Stays (LOS)</t>
  </si>
  <si>
    <t>Ave Booking Value</t>
  </si>
  <si>
    <t>No Cancellation</t>
  </si>
  <si>
    <t>Total Booking</t>
  </si>
  <si>
    <t>Is Discounted</t>
  </si>
  <si>
    <t>Is Cancelled</t>
  </si>
  <si>
    <t>Grand Total</t>
  </si>
  <si>
    <t>Count of Booking ID</t>
  </si>
  <si>
    <t>Row Labels</t>
  </si>
  <si>
    <t>Jan</t>
  </si>
  <si>
    <t>Feb</t>
  </si>
  <si>
    <t>Mar</t>
  </si>
  <si>
    <t>Column Labels</t>
  </si>
  <si>
    <t>Booking Channel Contribution</t>
  </si>
  <si>
    <t>Months</t>
  </si>
  <si>
    <t>Week of Month</t>
  </si>
  <si>
    <t>Day of Week</t>
  </si>
  <si>
    <t>Name of Month</t>
  </si>
  <si>
    <t>Sum of Booking Amount</t>
  </si>
  <si>
    <t>Sunday</t>
  </si>
  <si>
    <t>Monday</t>
  </si>
  <si>
    <t>Tuesday</t>
  </si>
  <si>
    <t>Wednesday</t>
  </si>
  <si>
    <t>Thursday</t>
  </si>
  <si>
    <t>Friday</t>
  </si>
  <si>
    <t>Saturday</t>
  </si>
  <si>
    <t>Sum of Is Cancelled</t>
  </si>
  <si>
    <t>KPI Cards              KPI Cards             KPI Cards             KPI Cards             KPI Cards             KPI Cards             KPI Cards               KPI Cards             KPI Cards             KPI Cards             KPI Cards             KPI Cards             KPI Cards             KPI Cards             KPI Cards                 KPI Cards             KPI Cards             KPI Cards             KPI Cards             KPI Cards</t>
  </si>
  <si>
    <t>Booking Performance: Channel Distribution                   Booking Performance: Channel Distribution                   Booking Performance: Channel Distribution                   Booking Performance: Channel Distribution                   Booking Performance: Channel Distribution                   Booking Performance: Channel Distribution                   Booking Performance: Channel Distribution</t>
  </si>
  <si>
    <t>Booking Performance: Discount &amp; Promotion                    Booking Performance: Discount &amp; Promotion                    Booking Performance: Discount &amp; Promotion                    Booking Performance: Discount &amp; Promotion                    Booking Performance: Discount &amp; Promotion                    Booking Performance: Discount &amp; Promotion                    Booking Performance: Discount &amp; Promotion                    Booking Performance: Discount &amp; Promotion                    Booking Performance: Discount &amp; Promotion</t>
  </si>
  <si>
    <t>Booking Density by Channel &amp; Day of Week</t>
  </si>
  <si>
    <t>Sum of Is Discounted</t>
  </si>
  <si>
    <t>Sum of Discount Applied</t>
  </si>
  <si>
    <t>OTB Revenue</t>
  </si>
  <si>
    <t>Applied Promotion Volume</t>
  </si>
  <si>
    <t>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                    Customer Behavior</t>
  </si>
  <si>
    <t>Distinct Count of Customer ID</t>
  </si>
  <si>
    <t>Sum of Lenght Of Stays (LOS)</t>
  </si>
  <si>
    <t>Average of Lenght Of Stays (LOS)</t>
  </si>
  <si>
    <t>Sum of Booking Amount2</t>
  </si>
  <si>
    <t>Cacellation Rate</t>
  </si>
  <si>
    <t>Room Night</t>
  </si>
  <si>
    <t/>
  </si>
  <si>
    <t>Booking Channel</t>
  </si>
  <si>
    <t>Total</t>
  </si>
  <si>
    <t>No. Customer</t>
  </si>
  <si>
    <t>Avg. Promo per Booking</t>
  </si>
  <si>
    <t>Discounted Booking Rate</t>
  </si>
  <si>
    <t>No. Applied Promo</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</si>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</sst>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quot;$&quot;* #,##0_);_(&quot;$&quot;* \(#,##0\);_(&quot;$&quot;* &quot;-&quot;??_);_(@_)"/>
    <numFmt numFmtId="165" formatCode="0.0"/>
    <numFmt numFmtId="172"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Segoe UI"/>
      <family val="2"/>
    </font>
    <font>
      <sz val="12"/>
      <color theme="1"/>
      <name val="Segoe UI"/>
    </font>
    <font>
      <sz val="14"/>
      <color theme="1"/>
      <name val="Segoe UI"/>
    </font>
    <font>
      <b/>
      <sz val="14"/>
      <color theme="1"/>
      <name val="Segoe UI"/>
    </font>
    <font>
      <sz val="12"/>
      <color theme="0" tint="-0.499984740745262"/>
      <name val="Segoe UI"/>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4.9989318521683403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rgb="FF999999"/>
      </top>
      <bottom/>
      <diagonal/>
    </border>
    <border>
      <left/>
      <right/>
      <top style="thin">
        <color indexed="65"/>
      </top>
      <bottom/>
      <diagonal/>
    </border>
    <border>
      <left style="thin">
        <color rgb="FF999999"/>
      </left>
      <right/>
      <top/>
      <bottom/>
      <diagonal/>
    </border>
    <border>
      <left style="thin">
        <color indexed="65"/>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0">
    <xf numFmtId="0" fontId="0" fillId="0" borderId="0" xfId="0"/>
    <xf numFmtId="14" fontId="0" fillId="0" borderId="0" xfId="0" applyNumberFormat="1"/>
    <xf numFmtId="0" fontId="0" fillId="0" borderId="0" xfId="0" applyNumberFormat="1"/>
    <xf numFmtId="0" fontId="0" fillId="0" borderId="0" xfId="0" pivotButton="1"/>
    <xf numFmtId="164" fontId="0" fillId="0" borderId="0" xfId="0" applyNumberFormat="1"/>
    <xf numFmtId="9" fontId="0" fillId="0" borderId="0" xfId="0" applyNumberFormat="1"/>
    <xf numFmtId="1" fontId="0" fillId="0" borderId="0" xfId="0" applyNumberFormat="1"/>
    <xf numFmtId="0" fontId="16" fillId="33" borderId="10" xfId="0" applyFont="1" applyFill="1" applyBorder="1"/>
    <xf numFmtId="0" fontId="0" fillId="0" borderId="0" xfId="0" applyAlignment="1">
      <alignment horizontal="left"/>
    </xf>
    <xf numFmtId="0" fontId="16" fillId="33" borderId="11" xfId="0" applyFont="1" applyFill="1" applyBorder="1" applyAlignment="1">
      <alignment horizontal="left"/>
    </xf>
    <xf numFmtId="0" fontId="16" fillId="0" borderId="10" xfId="0" applyFont="1" applyBorder="1" applyAlignment="1">
      <alignment horizontal="left"/>
    </xf>
    <xf numFmtId="9" fontId="0" fillId="0" borderId="0" xfId="0" pivotButton="1" applyNumberFormat="1"/>
    <xf numFmtId="0" fontId="16" fillId="0" borderId="10" xfId="0" applyNumberFormat="1" applyFont="1" applyBorder="1"/>
    <xf numFmtId="10" fontId="0" fillId="0" borderId="0" xfId="0" applyNumberFormat="1"/>
    <xf numFmtId="0" fontId="0" fillId="0" borderId="0" xfId="0" applyAlignment="1">
      <alignment horizontal="left" indent="1"/>
    </xf>
    <xf numFmtId="0" fontId="16" fillId="0" borderId="0" xfId="0" applyFont="1" applyAlignment="1">
      <alignment horizontal="left" indent="1"/>
    </xf>
    <xf numFmtId="14" fontId="0" fillId="0" borderId="0" xfId="0" applyNumberFormat="1" applyAlignment="1">
      <alignment horizontal="left" indent="2"/>
    </xf>
    <xf numFmtId="164" fontId="16" fillId="33" borderId="11" xfId="0" applyNumberFormat="1" applyFont="1" applyFill="1" applyBorder="1"/>
    <xf numFmtId="0" fontId="0" fillId="0" borderId="0" xfId="0" applyFill="1"/>
    <xf numFmtId="0" fontId="16" fillId="0" borderId="0" xfId="0" applyNumberFormat="1" applyFont="1"/>
    <xf numFmtId="0" fontId="0" fillId="0" borderId="0" xfId="0" applyAlignment="1">
      <alignment horizontal="left" indent="2"/>
    </xf>
    <xf numFmtId="164" fontId="16" fillId="0" borderId="0" xfId="0" applyNumberFormat="1" applyFont="1"/>
    <xf numFmtId="165" fontId="0" fillId="0" borderId="0" xfId="0" applyNumberFormat="1"/>
    <xf numFmtId="10" fontId="16" fillId="33" borderId="11" xfId="0" applyNumberFormat="1" applyFont="1" applyFill="1" applyBorder="1"/>
    <xf numFmtId="0" fontId="0" fillId="35" borderId="0" xfId="0" applyFill="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4" fillId="35" borderId="0" xfId="0" applyFont="1" applyFill="1"/>
    <xf numFmtId="0" fontId="18" fillId="35" borderId="0" xfId="0" applyFont="1" applyFill="1"/>
    <xf numFmtId="9" fontId="19" fillId="0" borderId="12" xfId="0" applyNumberFormat="1" applyFont="1" applyBorder="1" applyAlignment="1">
      <alignment horizontal="center"/>
    </xf>
    <xf numFmtId="9" fontId="19" fillId="0" borderId="21" xfId="0" applyNumberFormat="1" applyFont="1" applyBorder="1" applyAlignment="1">
      <alignment horizontal="center"/>
    </xf>
    <xf numFmtId="9" fontId="19" fillId="0" borderId="15" xfId="0" applyNumberFormat="1" applyFont="1" applyBorder="1" applyAlignment="1">
      <alignment horizontal="center"/>
    </xf>
    <xf numFmtId="9" fontId="19" fillId="0" borderId="22" xfId="0" applyNumberFormat="1" applyFont="1" applyBorder="1" applyAlignment="1">
      <alignment horizontal="center"/>
    </xf>
    <xf numFmtId="0" fontId="21" fillId="0" borderId="0" xfId="0" pivotButton="1" applyFont="1" applyBorder="1"/>
    <xf numFmtId="0" fontId="20" fillId="0" borderId="23" xfId="0" pivotButton="1" applyFont="1" applyBorder="1"/>
    <xf numFmtId="0" fontId="20" fillId="0" borderId="24" xfId="0" applyFont="1" applyBorder="1"/>
    <xf numFmtId="0" fontId="22" fillId="0" borderId="21" xfId="0" pivotButton="1" applyFont="1" applyBorder="1" applyAlignment="1">
      <alignment horizontal="center"/>
    </xf>
    <xf numFmtId="0" fontId="22" fillId="0" borderId="21" xfId="0" applyFont="1" applyBorder="1" applyAlignment="1">
      <alignment horizontal="center"/>
    </xf>
    <xf numFmtId="0" fontId="22" fillId="0" borderId="22" xfId="0" applyFont="1" applyBorder="1" applyAlignment="1">
      <alignment horizontal="center"/>
    </xf>
    <xf numFmtId="0" fontId="22" fillId="0" borderId="12" xfId="0" applyFont="1" applyBorder="1" applyAlignment="1">
      <alignment horizontal="center"/>
    </xf>
    <xf numFmtId="0" fontId="16" fillId="34" borderId="0" xfId="0" applyFont="1" applyFill="1" applyAlignment="1">
      <alignment horizontal="center"/>
    </xf>
    <xf numFmtId="0" fontId="16" fillId="0" borderId="0" xfId="0" applyFont="1" applyAlignment="1">
      <alignment horizontal="center"/>
    </xf>
    <xf numFmtId="17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0">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3" formatCode="0%"/>
    </dxf>
    <dxf>
      <numFmt numFmtId="172" formatCode="0.0%"/>
    </dxf>
    <dxf>
      <numFmt numFmtId="164" formatCode="_(&quot;$&quot;* #,##0_);_(&quot;$&quot;* \(#,##0\);_(&quot;$&quot;* &quot;-&quot;??_);_(@_)"/>
    </dxf>
    <dxf>
      <numFmt numFmtId="173" formatCode="_(&quot;$&quot;* #,##0.0_);_(&quot;$&quot;* \(#,##0.0\);_(&quot;$&quot;* &quot;-&quot;??_);_(@_)"/>
    </dxf>
    <dxf>
      <numFmt numFmtId="34" formatCode="_(&quot;$&quot;* #,##0.00_);_(&quot;$&quot;* \(#,##0.00\);_(&quot;$&quot;* &quot;-&quot;??_);_(@_)"/>
    </dxf>
    <dxf>
      <numFmt numFmtId="1" formatCode="0"/>
    </dxf>
    <dxf>
      <numFmt numFmtId="165" formatCode="0.0"/>
    </dxf>
    <dxf>
      <numFmt numFmtId="13" formatCode="0%"/>
    </dxf>
    <dxf>
      <numFmt numFmtId="172" formatCode="0.0%"/>
    </dxf>
    <dxf>
      <numFmt numFmtId="164" formatCode="_(&quot;$&quot;* #,##0_);_(&quot;$&quot;* \(#,##0\);_(&quot;$&quot;* &quot;-&quot;??_);_(@_)"/>
    </dxf>
    <dxf>
      <numFmt numFmtId="173" formatCode="_(&quot;$&quot;* #,##0.0_);_(&quot;$&quot;* \(#,##0.0\);_(&quot;$&quot;* &quot;-&quot;??_);_(@_)"/>
    </dxf>
    <dxf>
      <numFmt numFmtId="34" formatCode="_(&quot;$&quot;* #,##0.00_);_(&quot;$&quot;* \(#,##0.00\);_(&quot;$&quot;* &quot;-&quot;??_);_(@_)"/>
    </dxf>
    <dxf>
      <numFmt numFmtId="34" formatCode="_(&quot;$&quot;* #,##0.00_);_(&quot;$&quot;* \(#,##0.00\);_(&quot;$&quot;* &quot;-&quot;??_);_(@_)"/>
    </dxf>
    <dxf>
      <numFmt numFmtId="13" formatCode="0%"/>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164" formatCode="_(&quot;$&quot;* #,##0_);_(&quot;$&quot;* \(#,##0\);_(&quot;$&quot;* &quot;-&quot;??_);_(@_)"/>
    </dxf>
    <dxf>
      <numFmt numFmtId="173" formatCode="_(&quot;$&quot;* #,##0.0_);_(&quot;$&quot;* \(#,##0.0\);_(&quot;$&quot;* &quot;-&quot;??_);_(@_)"/>
    </dxf>
    <dxf>
      <numFmt numFmtId="34" formatCode="_(&quot;$&quot;* #,##0.00_);_(&quot;$&quot;* \(#,##0.00\);_(&quot;$&quot;* &quot;-&quot;??_);_(@_)"/>
    </dxf>
    <dxf>
      <numFmt numFmtId="13" formatCode="0%"/>
    </dxf>
    <dxf>
      <numFmt numFmtId="172" formatCode="0.0%"/>
    </dxf>
    <dxf>
      <numFmt numFmtId="13" formatCode="0%"/>
    </dxf>
    <dxf>
      <numFmt numFmtId="172" formatCode="0.0%"/>
    </dxf>
    <dxf>
      <numFmt numFmtId="14" formatCode="0.00%"/>
    </dxf>
    <dxf>
      <numFmt numFmtId="164" formatCode="_(&quot;$&quot;* #,##0_);_(&quot;$&quot;* \(#,##0\);_(&quot;$&quot;* &quot;-&quot;??_);_(@_)"/>
    </dxf>
    <dxf>
      <numFmt numFmtId="173" formatCode="_(&quot;$&quot;* #,##0.0_);_(&quot;$&quot;* \(#,##0.0\);_(&quot;$&quot;* &quot;-&quot;??_);_(@_)"/>
    </dxf>
    <dxf>
      <numFmt numFmtId="34" formatCode="_(&quot;$&quot;* #,##0.00_);_(&quot;$&quot;* \(#,##0.00\);_(&quot;$&quot;* &quot;-&quot;??_);_(@_)"/>
    </dxf>
    <dxf>
      <numFmt numFmtId="164" formatCode="_(&quot;$&quot;* #,##0_);_(&quot;$&quot;* \(#,##0\);_(&quot;$&quot;* &quot;-&quot;??_);_(@_)"/>
    </dxf>
    <dxf>
      <numFmt numFmtId="173" formatCode="_(&quot;$&quot;* #,##0.0_);_(&quot;$&quot;* \(#,##0.0\);_(&quot;$&quot;* &quot;-&quot;??_);_(@_)"/>
    </dxf>
    <dxf>
      <numFmt numFmtId="34" formatCode="_(&quot;$&quot;* #,##0.00_);_(&quot;$&quot;* \(#,##0.00\);_(&quot;$&quot;* &quot;-&quot;??_);_(@_)"/>
    </dxf>
    <dxf>
      <numFmt numFmtId="13" formatCode="0%"/>
    </dxf>
    <dxf>
      <numFmt numFmtId="172" formatCode="0.0%"/>
    </dxf>
    <dxf>
      <numFmt numFmtId="14" formatCode="0.00%"/>
    </dxf>
    <dxf>
      <numFmt numFmtId="0" formatCode="General"/>
    </dxf>
    <dxf>
      <numFmt numFmtId="13" formatCode="0%"/>
    </dxf>
    <dxf>
      <numFmt numFmtId="13" formatCode="0%"/>
    </dxf>
    <dxf>
      <numFmt numFmtId="13" formatCode="0%"/>
    </dxf>
    <dxf>
      <numFmt numFmtId="172" formatCode="0.0%"/>
    </dxf>
    <dxf>
      <numFmt numFmtId="13" formatCode="0%"/>
    </dxf>
    <dxf>
      <numFmt numFmtId="172" formatCode="0.0%"/>
    </dxf>
    <dxf>
      <numFmt numFmtId="13" formatCode="0%"/>
    </dxf>
    <dxf>
      <numFmt numFmtId="172" formatCode="0.0%"/>
    </dxf>
    <dxf>
      <numFmt numFmtId="14" formatCode="0.0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72" formatCode="0.0%"/>
    </dxf>
    <dxf>
      <numFmt numFmtId="13" formatCode="0%"/>
    </dxf>
    <dxf>
      <numFmt numFmtId="172" formatCode="0.0%"/>
    </dxf>
    <dxf>
      <numFmt numFmtId="13" formatCode="0%"/>
    </dxf>
    <dxf>
      <numFmt numFmtId="172" formatCode="0.0%"/>
    </dxf>
    <dxf>
      <numFmt numFmtId="13" formatCode="0%"/>
    </dxf>
    <dxf>
      <numFmt numFmtId="172" formatCode="0.0%"/>
    </dxf>
    <dxf>
      <font>
        <color theme="0" tint="-0.499984740745262"/>
      </font>
    </dxf>
    <dxf>
      <font>
        <color theme="0" tint="-0.499984740745262"/>
      </font>
    </dxf>
    <dxf>
      <font>
        <color theme="0" tint="-0.499984740745262"/>
      </font>
    </dxf>
    <dxf>
      <border>
        <left/>
        <right/>
        <top/>
        <bottom/>
      </border>
    </dxf>
    <dxf>
      <font>
        <color theme="0" tint="-0.34998626667073579"/>
      </font>
    </dxf>
    <dxf>
      <font>
        <color theme="0" tint="-0.34998626667073579"/>
      </font>
    </dxf>
    <dxf>
      <font>
        <color theme="0" tint="-0.34998626667073579"/>
      </font>
    </dxf>
    <dxf>
      <font>
        <color theme="0" tint="-0.249977111117893"/>
      </font>
    </dxf>
    <dxf>
      <font>
        <color theme="0" tint="-0.249977111117893"/>
      </font>
    </dxf>
    <dxf>
      <font>
        <color theme="0" tint="-0.249977111117893"/>
      </font>
    </dxf>
    <dxf>
      <font>
        <color theme="0" tint="-0.249977111117893"/>
      </font>
    </dxf>
    <dxf>
      <font>
        <color theme="0" tint="-0.14999847407452621"/>
      </font>
    </dxf>
    <dxf>
      <font>
        <b/>
      </font>
    </dxf>
    <dxf>
      <alignment horizontal="center" readingOrder="0"/>
    </dxf>
    <dxf>
      <alignment horizontal="center" readingOrder="0"/>
    </dxf>
    <dxf>
      <alignment horizontal="center" readingOrder="0"/>
    </dxf>
    <dxf>
      <alignment horizontal="center" readingOrder="0"/>
    </dxf>
    <dxf>
      <font>
        <sz val="12"/>
      </font>
    </dxf>
    <dxf>
      <font>
        <sz val="12"/>
      </font>
    </dxf>
    <dxf>
      <font>
        <sz val="12"/>
      </font>
    </dxf>
    <dxf>
      <font>
        <sz val="12"/>
      </font>
    </dxf>
    <dxf>
      <font>
        <sz val="14"/>
      </font>
    </dxf>
    <dxf>
      <font>
        <sz val="16"/>
      </font>
    </dxf>
    <dxf>
      <font>
        <sz val="18"/>
      </font>
    </dxf>
    <dxf>
      <font>
        <sz val="16"/>
      </font>
    </dxf>
    <dxf>
      <font>
        <sz val="14"/>
      </font>
    </dxf>
    <dxf>
      <font>
        <sz val="12"/>
      </font>
    </dxf>
    <dxf>
      <font>
        <name val="Segoe UI"/>
        <scheme val="none"/>
      </font>
    </dxf>
    <dxf>
      <numFmt numFmtId="13" formatCode="0%"/>
    </dxf>
    <dxf>
      <numFmt numFmtId="172" formatCode="0.0%"/>
    </dxf>
    <dxf>
      <numFmt numFmtId="13" formatCode="0%"/>
    </dxf>
    <dxf>
      <numFmt numFmtId="13" formatCode="0%"/>
    </dxf>
    <dxf>
      <numFmt numFmtId="13" formatCode="0%"/>
    </dxf>
    <dxf>
      <numFmt numFmtId="13" formatCode="0%"/>
    </dxf>
    <dxf>
      <numFmt numFmtId="172" formatCode="0.0%"/>
    </dxf>
    <dxf>
      <font>
        <b/>
        <i val="0"/>
        <sz val="9"/>
        <color theme="0"/>
        <name val="Segoe UI"/>
        <scheme val="none"/>
      </font>
      <fill>
        <patternFill>
          <bgColor rgb="FFC5B358"/>
        </patternFill>
      </fill>
      <border diagonalUp="0" diagonalDown="0">
        <left/>
        <right/>
        <top/>
        <bottom/>
        <vertical/>
        <horizontal/>
      </border>
    </dxf>
    <dxf>
      <font>
        <b/>
        <i val="0"/>
        <sz val="9"/>
        <color auto="1"/>
        <name val="Segoe UI"/>
        <scheme val="none"/>
      </font>
      <fill>
        <patternFill patternType="solid">
          <fgColor theme="0"/>
          <bgColor rgb="FFC5B358"/>
        </patternFill>
      </fill>
      <border diagonalUp="0" diagonalDown="0">
        <left/>
        <right/>
        <top/>
        <bottom/>
        <vertical/>
        <horizontal/>
      </border>
    </dxf>
    <dxf>
      <font>
        <b/>
        <i val="0"/>
        <sz val="9"/>
        <color theme="0"/>
        <name val="Segoe UI"/>
        <scheme val="none"/>
      </font>
    </dxf>
    <dxf>
      <font>
        <b/>
        <i val="0"/>
        <sz val="9"/>
        <color theme="0"/>
        <name val="Segoe UI"/>
        <scheme val="none"/>
      </font>
      <fill>
        <patternFill>
          <bgColor rgb="FFC5B358"/>
        </patternFill>
      </fill>
      <border diagonalUp="0" diagonalDown="0">
        <left/>
        <right/>
        <top/>
        <bottom/>
        <vertical/>
        <horizontal/>
      </border>
    </dxf>
    <dxf>
      <font>
        <b/>
        <i val="0"/>
        <sz val="11"/>
        <color theme="0"/>
        <name val="Segoe UI"/>
        <scheme val="none"/>
      </font>
    </dxf>
    <dxf>
      <font>
        <b/>
        <i val="0"/>
        <strike val="0"/>
        <sz val="11"/>
        <color theme="0"/>
        <name val="Segoe UI"/>
        <scheme val="none"/>
      </font>
      <fill>
        <patternFill>
          <bgColor rgb="FFC5B358"/>
        </patternFill>
      </fill>
      <border diagonalUp="0" diagonalDown="0">
        <left/>
        <right/>
        <top/>
        <bottom/>
        <vertical/>
        <horizontal/>
      </border>
    </dxf>
  </dxfs>
  <tableStyles count="4" defaultTableStyle="TableStyleMedium2" defaultPivotStyle="PivotStyleLight16">
    <tableStyle name="Slicer Style 2" pivot="0" table="0" count="4">
      <tableStyleElement type="wholeTable" dxfId="179"/>
      <tableStyleElement type="headerRow" dxfId="178"/>
    </tableStyle>
    <tableStyle name="Slicer Style 7" pivot="0" table="0" count="1"/>
    <tableStyle name="Slicer Style 8" pivot="0" table="0" count="9">
      <tableStyleElement type="wholeTable" dxfId="177"/>
      <tableStyleElement type="headerRow" dxfId="176"/>
    </tableStyle>
    <tableStyle name="Timeline Style 1" pivot="0" table="0" count="9">
      <tableStyleElement type="wholeTable" dxfId="175"/>
      <tableStyleElement type="headerRow" dxfId="174"/>
    </tableStyle>
  </tableStyles>
  <colors>
    <mruColors>
      <color rgb="FFC5B358"/>
      <color rgb="FFA28B55"/>
      <color rgb="FFC41230"/>
      <color rgb="FFCF1313"/>
      <color rgb="FFB91112"/>
      <color rgb="FFA2FFFF"/>
    </mruColors>
  </colors>
  <extLst>
    <ext xmlns:x14="http://schemas.microsoft.com/office/spreadsheetml/2009/9/main" uri="{46F421CA-312F-682f-3DD2-61675219B42D}">
      <x14:dxfs count="10">
        <dxf>
          <font>
            <b/>
            <i val="0"/>
            <sz val="9"/>
            <color theme="0"/>
            <name val="Segoe UI"/>
            <scheme val="none"/>
          </font>
        </dxf>
        <dxf>
          <font>
            <b/>
            <i val="0"/>
            <sz val="9"/>
            <color theme="0"/>
            <name val="Segoe UI"/>
            <scheme val="none"/>
          </font>
        </dxf>
        <dxf>
          <font>
            <b/>
            <i val="0"/>
            <sz val="9"/>
            <color theme="0"/>
            <name val="Segoe UI"/>
            <scheme val="none"/>
          </font>
        </dxf>
        <dxf>
          <font>
            <b/>
            <i val="0"/>
            <sz val="9"/>
            <color theme="0"/>
            <name val="segoe UI"/>
            <scheme val="none"/>
          </font>
          <fill>
            <patternFill>
              <bgColor theme="0" tint="-0.34998626667073579"/>
            </patternFill>
          </fill>
        </dxf>
        <dxf>
          <font>
            <b/>
            <i val="0"/>
            <sz val="9"/>
            <color theme="0"/>
            <name val="Segoe UI"/>
            <scheme val="none"/>
          </font>
          <fill>
            <patternFill>
              <bgColor theme="1"/>
            </patternFill>
          </fill>
        </dxf>
        <dxf>
          <font>
            <b/>
            <i val="0"/>
            <sz val="9"/>
            <color theme="0"/>
            <name val="Segoe UI"/>
            <scheme val="none"/>
          </font>
        </dxf>
        <dxf>
          <font>
            <b/>
            <i val="0"/>
            <sz val="9"/>
            <color theme="0"/>
            <name val="Segoe UI"/>
            <scheme val="none"/>
          </font>
        </dxf>
        <dxf>
          <font>
            <b/>
            <i val="0"/>
            <sz val="11"/>
            <color theme="0"/>
            <name val="Segoe UI"/>
            <scheme val="none"/>
          </font>
          <fill>
            <patternFill>
              <bgColor theme="1"/>
            </patternFill>
          </fill>
        </dxf>
        <dxf>
          <font>
            <b/>
            <i val="0"/>
            <sz val="11"/>
            <name val="Segoe UI"/>
            <scheme val="none"/>
          </font>
          <fill>
            <patternFill>
              <bgColor rgb="FFC5B358"/>
            </patternFill>
          </fill>
        </dxf>
        <dxf>
          <font>
            <b/>
            <i val="0"/>
            <sz val="11"/>
            <color theme="1"/>
            <name val="Segoe UI"/>
            <scheme val="none"/>
          </font>
          <fill>
            <patternFill>
              <bgColor rgb="FFC5B35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2">
          <x14:slicerStyleElements>
            <x14:slicerStyleElement type="selectedItemWithData" dxfId="9"/>
            <x14:slicerStyleElement type="hoveredSelectedItemWithData" dxfId="8"/>
          </x14:slicerStyleElements>
        </x14:slicerStyle>
        <x14:slicerStyle name="Slicer Style 7">
          <x14:slicerStyleElements>
            <x14:slicerStyleElement type="selectedItemWithData" dxfId="7"/>
          </x14:slicerStyleElements>
        </x14:slicerStyle>
        <x14:slicerStyle name="Slicer Style 8">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3743705557422"/>
              <bgColor rgb="FFC5B358"/>
            </patternFill>
          </fill>
          <border>
            <left style="thin">
              <color auto="1"/>
            </left>
            <right style="thin">
              <color auto="1"/>
            </right>
            <top style="thin">
              <color auto="1"/>
            </top>
            <bottom style="thin">
              <color auto="1"/>
            </bottom>
          </border>
        </dxf>
        <dxf>
          <fill>
            <patternFill patternType="solid">
              <fgColor theme="0"/>
              <bgColor theme="1"/>
            </patternFill>
          </fill>
          <border diagonalUp="0" diagonalDown="0">
            <left style="thin">
              <color auto="1"/>
            </left>
            <right style="thin">
              <color auto="1"/>
            </right>
            <top style="thin">
              <color auto="1"/>
            </top>
            <bottom style="thin">
              <color auto="1"/>
            </bottom>
            <vertical/>
            <horizontal/>
          </border>
        </dxf>
        <dxf>
          <font>
            <b/>
            <i val="0"/>
            <sz val="9"/>
            <color theme="0"/>
            <name val="Segoe UI"/>
            <scheme val="none"/>
          </font>
        </dxf>
        <dxf>
          <font>
            <b/>
            <i val="0"/>
            <sz val="9"/>
            <color theme="0"/>
            <name val="Segoe UI"/>
            <scheme val="none"/>
          </font>
        </dxf>
        <dxf>
          <font>
            <b/>
            <i val="0"/>
            <sz val="9"/>
            <color theme="0"/>
            <name val="Segoe UI"/>
            <scheme val="none"/>
          </font>
        </dxf>
        <dxf>
          <font>
            <b/>
            <i val="0"/>
            <sz val="9"/>
            <color theme="0"/>
            <name val="Segoe UI"/>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1/relationships/timelineCache" Target="timelineCaches/timelineCach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1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5.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microsoft.com/office/2011/relationships/timelineCache" Target="timelineCaches/timelineCache2.xml"/><Relationship Id="rId30" Type="http://schemas.openxmlformats.org/officeDocument/2006/relationships/styles" Target="styles.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Support!Booking_data</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vi-VN" b="1"/>
              <a:t>Booking Channel Contribution</a:t>
            </a:r>
            <a:endParaRPr lang="en-US" b="1"/>
          </a:p>
        </c:rich>
      </c:tx>
      <c:layout>
        <c:manualLayout>
          <c:xMode val="edge"/>
          <c:yMode val="edge"/>
          <c:x val="0.20328268471233432"/>
          <c:y val="4.6874988465800084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rgbClr val="C5B358"/>
          </a:solidFill>
          <a:ln w="19050">
            <a:solidFill>
              <a:schemeClr val="lt1"/>
            </a:solidFill>
          </a:ln>
          <a:effectLst/>
        </c:spPr>
      </c:pivotFmt>
      <c:pivotFmt>
        <c:idx val="13"/>
        <c:spPr>
          <a:solidFill>
            <a:schemeClr val="tx1"/>
          </a:solidFill>
          <a:ln w="19050">
            <a:solidFill>
              <a:schemeClr val="lt1"/>
            </a:solidFill>
          </a:ln>
          <a:effectLst/>
        </c:spPr>
      </c:pivotFmt>
      <c:pivotFmt>
        <c:idx val="14"/>
        <c:spPr>
          <a:solidFill>
            <a:schemeClr val="bg1">
              <a:lumMod val="65000"/>
            </a:schemeClr>
          </a:solidFill>
          <a:ln w="19050">
            <a:solidFill>
              <a:schemeClr val="lt1"/>
            </a:solidFill>
          </a:ln>
          <a:effectLst/>
        </c:spPr>
      </c:pivotFmt>
    </c:pivotFmts>
    <c:plotArea>
      <c:layout>
        <c:manualLayout>
          <c:layoutTarget val="inner"/>
          <c:xMode val="edge"/>
          <c:yMode val="edge"/>
          <c:x val="0.230476214434857"/>
          <c:y val="0.13440203385776725"/>
          <c:w val="0.51342406480340119"/>
          <c:h val="0.75328918472214945"/>
        </c:manualLayout>
      </c:layout>
      <c:doughnutChart>
        <c:varyColors val="1"/>
        <c:ser>
          <c:idx val="0"/>
          <c:order val="0"/>
          <c:tx>
            <c:strRef>
              <c:f>'Data Support'!$C$10</c:f>
              <c:strCache>
                <c:ptCount val="1"/>
                <c:pt idx="0">
                  <c:v>Total</c:v>
                </c:pt>
              </c:strCache>
            </c:strRef>
          </c:tx>
          <c:dPt>
            <c:idx val="0"/>
            <c:bubble3D val="0"/>
            <c:spPr>
              <a:solidFill>
                <a:srgbClr val="C5B358"/>
              </a:solidFill>
              <a:ln w="19050">
                <a:solidFill>
                  <a:schemeClr val="lt1"/>
                </a:solidFill>
              </a:ln>
              <a:effectLst/>
            </c:spPr>
            <c:extLst>
              <c:ext xmlns:c16="http://schemas.microsoft.com/office/drawing/2014/chart" uri="{C3380CC4-5D6E-409C-BE32-E72D297353CC}">
                <c16:uniqueId val="{00000001-7436-4FEC-86C6-F723787AF3A9}"/>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7436-4FEC-86C6-F723787AF3A9}"/>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7436-4FEC-86C6-F723787AF3A9}"/>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Support'!$B$11:$B$14</c:f>
              <c:strCache>
                <c:ptCount val="3"/>
                <c:pt idx="0">
                  <c:v>Mobile App</c:v>
                </c:pt>
                <c:pt idx="1">
                  <c:v>Third-Party OTA</c:v>
                </c:pt>
                <c:pt idx="2">
                  <c:v>Website</c:v>
                </c:pt>
              </c:strCache>
            </c:strRef>
          </c:cat>
          <c:val>
            <c:numRef>
              <c:f>'Data Support'!$C$11:$C$14</c:f>
              <c:numCache>
                <c:formatCode>0%</c:formatCode>
                <c:ptCount val="3"/>
                <c:pt idx="0">
                  <c:v>0.32</c:v>
                </c:pt>
                <c:pt idx="1">
                  <c:v>0.32600000000000001</c:v>
                </c:pt>
                <c:pt idx="2">
                  <c:v>0.35399999999999998</c:v>
                </c:pt>
              </c:numCache>
            </c:numRef>
          </c:val>
          <c:extLst>
            <c:ext xmlns:c16="http://schemas.microsoft.com/office/drawing/2014/chart" uri="{C3380CC4-5D6E-409C-BE32-E72D297353CC}">
              <c16:uniqueId val="{00000006-7436-4FEC-86C6-F723787AF3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180503635128676"/>
          <c:y val="0.86271504990007264"/>
          <c:w val="0.72718774370456085"/>
          <c:h val="0.137284950099927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sz="10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c:name>
    <c:fmtId val="1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100" b="1"/>
              <a:t>OTB Revenue</a:t>
            </a:r>
            <a:r>
              <a:rPr lang="vi-VN" sz="1100" b="1"/>
              <a:t> Contribution by Channel</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bg1">
              <a:lumMod val="65000"/>
            </a:schemeClr>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C5B358"/>
          </a:solidFill>
          <a:ln w="19050">
            <a:solidFill>
              <a:schemeClr val="lt1"/>
            </a:solidFill>
          </a:ln>
          <a:effectLst/>
        </c:spPr>
      </c:pivotFmt>
      <c:pivotFmt>
        <c:idx val="10"/>
        <c:spPr>
          <a:solidFill>
            <a:schemeClr val="tx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C5B358"/>
          </a:solidFill>
          <a:ln w="19050">
            <a:solidFill>
              <a:schemeClr val="lt1"/>
            </a:solidFill>
          </a:ln>
          <a:effectLst/>
        </c:spPr>
      </c:pivotFmt>
      <c:pivotFmt>
        <c:idx val="13"/>
        <c:spPr>
          <a:solidFill>
            <a:schemeClr val="tx1"/>
          </a:solidFill>
          <a:ln w="19050">
            <a:solidFill>
              <a:schemeClr val="lt1"/>
            </a:solidFill>
          </a:ln>
          <a:effectLst/>
        </c:spPr>
      </c:pivotFmt>
      <c:pivotFmt>
        <c:idx val="14"/>
        <c:spPr>
          <a:solidFill>
            <a:schemeClr val="bg1">
              <a:lumMod val="65000"/>
            </a:schemeClr>
          </a:solidFill>
          <a:ln w="19050">
            <a:solidFill>
              <a:schemeClr val="lt1"/>
            </a:solidFill>
          </a:ln>
          <a:effectLst/>
        </c:spPr>
      </c:pivotFmt>
    </c:pivotFmts>
    <c:plotArea>
      <c:layout>
        <c:manualLayout>
          <c:layoutTarget val="inner"/>
          <c:xMode val="edge"/>
          <c:yMode val="edge"/>
          <c:x val="0.24686348124259277"/>
          <c:y val="0.19724131542380732"/>
          <c:w val="0.49271009907533758"/>
          <c:h val="0.71601371005094938"/>
        </c:manualLayout>
      </c:layout>
      <c:doughnutChart>
        <c:varyColors val="1"/>
        <c:ser>
          <c:idx val="0"/>
          <c:order val="0"/>
          <c:tx>
            <c:strRef>
              <c:f>'Data Support'!$M$10</c:f>
              <c:strCache>
                <c:ptCount val="1"/>
                <c:pt idx="0">
                  <c:v>Total</c:v>
                </c:pt>
              </c:strCache>
            </c:strRef>
          </c:tx>
          <c:spPr>
            <a:solidFill>
              <a:schemeClr val="bg1">
                <a:lumMod val="65000"/>
              </a:schemeClr>
            </a:solidFill>
          </c:spPr>
          <c:dPt>
            <c:idx val="0"/>
            <c:bubble3D val="0"/>
            <c:spPr>
              <a:solidFill>
                <a:srgbClr val="C5B358"/>
              </a:solidFill>
              <a:ln w="19050">
                <a:solidFill>
                  <a:schemeClr val="lt1"/>
                </a:solidFill>
              </a:ln>
              <a:effectLst/>
            </c:spPr>
            <c:extLst>
              <c:ext xmlns:c16="http://schemas.microsoft.com/office/drawing/2014/chart" uri="{C3380CC4-5D6E-409C-BE32-E72D297353CC}">
                <c16:uniqueId val="{00000001-81B6-4657-ACCC-43225D81BBC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81B6-4657-ACCC-43225D81BBC6}"/>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81B6-4657-ACCC-43225D81BBC6}"/>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Support'!$L$11:$L$14</c:f>
              <c:strCache>
                <c:ptCount val="3"/>
                <c:pt idx="0">
                  <c:v>Mobile App</c:v>
                </c:pt>
                <c:pt idx="1">
                  <c:v>Third-Party OTA</c:v>
                </c:pt>
                <c:pt idx="2">
                  <c:v>Website</c:v>
                </c:pt>
              </c:strCache>
            </c:strRef>
          </c:cat>
          <c:val>
            <c:numRef>
              <c:f>'Data Support'!$M$11:$M$14</c:f>
              <c:numCache>
                <c:formatCode>0%</c:formatCode>
                <c:ptCount val="3"/>
                <c:pt idx="0">
                  <c:v>0.32359446606188874</c:v>
                </c:pt>
                <c:pt idx="1">
                  <c:v>0.33235996355020275</c:v>
                </c:pt>
                <c:pt idx="2">
                  <c:v>0.34404557038790851</c:v>
                </c:pt>
              </c:numCache>
            </c:numRef>
          </c:val>
          <c:extLst>
            <c:ext xmlns:c16="http://schemas.microsoft.com/office/drawing/2014/chart" uri="{C3380CC4-5D6E-409C-BE32-E72D297353CC}">
              <c16:uniqueId val="{00000006-81B6-4657-ACCC-43225D81BBC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0886965993721351"/>
          <c:y val="0.89387901806391845"/>
          <c:w val="0.75836184018619712"/>
          <c:h val="0.10612098193608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Support!PivotTable3</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Cancellation Rate by Booking Channel</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C5B358"/>
          </a:solidFill>
          <a:ln w="19050">
            <a:solidFill>
              <a:schemeClr val="lt1"/>
            </a:solidFill>
          </a:ln>
          <a:effectLst/>
        </c:spPr>
      </c:pivotFmt>
      <c:pivotFmt>
        <c:idx val="15"/>
        <c:spPr>
          <a:solidFill>
            <a:schemeClr val="tx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bg1">
              <a:lumMod val="65000"/>
            </a:schemeClr>
          </a:solidFill>
          <a:ln w="19050">
            <a:solidFill>
              <a:schemeClr val="lt1"/>
            </a:solidFill>
          </a:ln>
          <a:effectLst/>
        </c:spPr>
      </c:pivotFmt>
      <c:pivotFmt>
        <c:idx val="18"/>
        <c:spPr>
          <a:solidFill>
            <a:schemeClr val="bg1">
              <a:lumMod val="65000"/>
            </a:schemeClr>
          </a:solidFill>
          <a:ln w="19050">
            <a:solidFill>
              <a:schemeClr val="lt1"/>
            </a:solidFill>
          </a:ln>
          <a:effectLst/>
        </c:spPr>
        <c:marker>
          <c:symbol val="none"/>
        </c:marker>
      </c:pivotFmt>
      <c:pivotFmt>
        <c:idx val="19"/>
        <c:spPr>
          <a:solidFill>
            <a:schemeClr val="tx1"/>
          </a:solidFill>
          <a:ln w="19050">
            <a:solidFill>
              <a:schemeClr val="lt1"/>
            </a:solidFill>
          </a:ln>
          <a:effectLst/>
        </c:spPr>
      </c:pivotFmt>
      <c:pivotFmt>
        <c:idx val="20"/>
        <c:spPr>
          <a:solidFill>
            <a:srgbClr val="C5B358"/>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bg1">
              <a:lumMod val="65000"/>
            </a:schemeClr>
          </a:solidFill>
          <a:ln w="19050">
            <a:solidFill>
              <a:schemeClr val="lt1"/>
            </a:solidFill>
          </a:ln>
          <a:effectLst/>
        </c:spPr>
      </c:pivotFmt>
    </c:pivotFmts>
    <c:plotArea>
      <c:layout>
        <c:manualLayout>
          <c:layoutTarget val="inner"/>
          <c:xMode val="edge"/>
          <c:yMode val="edge"/>
          <c:x val="0.24040469941257339"/>
          <c:y val="0.15812483805983316"/>
          <c:w val="0.51056117985251848"/>
          <c:h val="0.75387530662517066"/>
        </c:manualLayout>
      </c:layout>
      <c:doughnutChart>
        <c:varyColors val="1"/>
        <c:ser>
          <c:idx val="0"/>
          <c:order val="0"/>
          <c:tx>
            <c:strRef>
              <c:f>'Data Support'!$Z$10</c:f>
              <c:strCache>
                <c:ptCount val="1"/>
                <c:pt idx="0">
                  <c:v>Total</c:v>
                </c:pt>
              </c:strCache>
            </c:strRef>
          </c:tx>
          <c:dPt>
            <c:idx val="0"/>
            <c:bubble3D val="0"/>
            <c:spPr>
              <a:solidFill>
                <a:srgbClr val="C5B358"/>
              </a:solidFill>
              <a:ln w="19050">
                <a:solidFill>
                  <a:schemeClr val="lt1"/>
                </a:solidFill>
              </a:ln>
              <a:effectLst/>
            </c:spPr>
            <c:extLst>
              <c:ext xmlns:c16="http://schemas.microsoft.com/office/drawing/2014/chart" uri="{C3380CC4-5D6E-409C-BE32-E72D297353CC}">
                <c16:uniqueId val="{00000001-049D-407D-8D01-26C101B1B8E0}"/>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049D-407D-8D01-26C101B1B8E0}"/>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049D-407D-8D01-26C101B1B8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Support'!$Y$11:$Y$14</c:f>
              <c:strCache>
                <c:ptCount val="3"/>
                <c:pt idx="0">
                  <c:v>Mobile App</c:v>
                </c:pt>
                <c:pt idx="1">
                  <c:v>Third-Party OTA</c:v>
                </c:pt>
                <c:pt idx="2">
                  <c:v>Website</c:v>
                </c:pt>
              </c:strCache>
            </c:strRef>
          </c:cat>
          <c:val>
            <c:numRef>
              <c:f>'Data Support'!$Z$11:$Z$14</c:f>
              <c:numCache>
                <c:formatCode>0%</c:formatCode>
                <c:ptCount val="3"/>
                <c:pt idx="0">
                  <c:v>0.29707112970711297</c:v>
                </c:pt>
                <c:pt idx="1">
                  <c:v>0.33891213389121339</c:v>
                </c:pt>
                <c:pt idx="2">
                  <c:v>0.36401673640167365</c:v>
                </c:pt>
              </c:numCache>
            </c:numRef>
          </c:val>
          <c:extLst>
            <c:ext xmlns:c16="http://schemas.microsoft.com/office/drawing/2014/chart" uri="{C3380CC4-5D6E-409C-BE32-E72D297353CC}">
              <c16:uniqueId val="{00000006-049D-407D-8D01-26C101B1B8E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724359455068117"/>
          <c:y val="0.89236543002819146"/>
          <c:w val="0.57688338957630292"/>
          <c:h val="0.10570642083995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Support!PivotTable10</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vi-VN" sz="1200" b="1"/>
              <a:t>Week-over-Week Booking Flow by Channel</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rgbClr val="C5B358"/>
            </a:solidFill>
            <a:round/>
          </a:ln>
          <a:effectLst/>
        </c:spPr>
        <c:marker>
          <c:symbol val="none"/>
        </c:marker>
      </c:pivotFmt>
      <c:pivotFmt>
        <c:idx val="13"/>
        <c:spPr>
          <a:ln w="28575" cap="rnd">
            <a:solidFill>
              <a:schemeClr val="tx1"/>
            </a:solidFill>
            <a:round/>
          </a:ln>
          <a:effectLst/>
        </c:spPr>
        <c:marker>
          <c:symbol val="none"/>
        </c:marker>
      </c:pivotFmt>
      <c:pivotFmt>
        <c:idx val="14"/>
        <c:spPr>
          <a:ln w="28575" cap="rnd">
            <a:solidFill>
              <a:schemeClr val="bg1">
                <a:lumMod val="65000"/>
              </a:schemeClr>
            </a:solidFill>
            <a:round/>
          </a:ln>
          <a:effectLst/>
        </c:spPr>
        <c:marker>
          <c:symbol val="none"/>
        </c:marker>
      </c:pivotFmt>
      <c:pivotFmt>
        <c:idx val="15"/>
        <c:spPr>
          <a:ln w="28575" cap="rnd">
            <a:solidFill>
              <a:schemeClr val="tx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'Data Support'!$G$10:$G$11</c:f>
              <c:strCache>
                <c:ptCount val="1"/>
                <c:pt idx="0">
                  <c:v>Mobile App</c:v>
                </c:pt>
              </c:strCache>
            </c:strRef>
          </c:tx>
          <c:spPr>
            <a:ln w="28575" cap="rnd">
              <a:solidFill>
                <a:srgbClr val="C5B358"/>
              </a:solidFill>
              <a:round/>
            </a:ln>
            <a:effectLst/>
          </c:spPr>
          <c:marker>
            <c:symbol val="none"/>
          </c:marker>
          <c:cat>
            <c:multiLvlStrRef>
              <c:f>'Data Support'!$F$12:$F$31</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Support'!$G$12:$G$31</c:f>
              <c:numCache>
                <c:formatCode>0.0%</c:formatCode>
                <c:ptCount val="16"/>
                <c:pt idx="0">
                  <c:v>2.5999999999999999E-2</c:v>
                </c:pt>
                <c:pt idx="1">
                  <c:v>1.6E-2</c:v>
                </c:pt>
                <c:pt idx="2">
                  <c:v>1.4E-2</c:v>
                </c:pt>
                <c:pt idx="3">
                  <c:v>2.1999999999999999E-2</c:v>
                </c:pt>
                <c:pt idx="4">
                  <c:v>1.6E-2</c:v>
                </c:pt>
                <c:pt idx="5">
                  <c:v>0.01</c:v>
                </c:pt>
                <c:pt idx="6">
                  <c:v>0.02</c:v>
                </c:pt>
                <c:pt idx="7">
                  <c:v>2.5999999999999999E-2</c:v>
                </c:pt>
                <c:pt idx="8">
                  <c:v>1.7999999999999999E-2</c:v>
                </c:pt>
                <c:pt idx="9">
                  <c:v>2.1999999999999999E-2</c:v>
                </c:pt>
                <c:pt idx="10">
                  <c:v>1.2E-2</c:v>
                </c:pt>
                <c:pt idx="11">
                  <c:v>3.2000000000000001E-2</c:v>
                </c:pt>
                <c:pt idx="12">
                  <c:v>2.8000000000000001E-2</c:v>
                </c:pt>
                <c:pt idx="13">
                  <c:v>1.7999999999999999E-2</c:v>
                </c:pt>
                <c:pt idx="14">
                  <c:v>3.7999999999999999E-2</c:v>
                </c:pt>
                <c:pt idx="15">
                  <c:v>2E-3</c:v>
                </c:pt>
              </c:numCache>
            </c:numRef>
          </c:val>
          <c:smooth val="0"/>
          <c:extLst>
            <c:ext xmlns:c16="http://schemas.microsoft.com/office/drawing/2014/chart" uri="{C3380CC4-5D6E-409C-BE32-E72D297353CC}">
              <c16:uniqueId val="{00000000-054E-4893-8C56-BE05C3583DF4}"/>
            </c:ext>
          </c:extLst>
        </c:ser>
        <c:ser>
          <c:idx val="1"/>
          <c:order val="1"/>
          <c:tx>
            <c:strRef>
              <c:f>'Data Support'!$H$10:$H$11</c:f>
              <c:strCache>
                <c:ptCount val="1"/>
                <c:pt idx="0">
                  <c:v>Third-Party OTA</c:v>
                </c:pt>
              </c:strCache>
            </c:strRef>
          </c:tx>
          <c:spPr>
            <a:ln w="28575" cap="rnd">
              <a:solidFill>
                <a:schemeClr val="tx1"/>
              </a:solidFill>
              <a:round/>
            </a:ln>
            <a:effectLst/>
          </c:spPr>
          <c:marker>
            <c:symbol val="none"/>
          </c:marker>
          <c:cat>
            <c:multiLvlStrRef>
              <c:f>'Data Support'!$F$12:$F$31</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Support'!$H$12:$H$31</c:f>
              <c:numCache>
                <c:formatCode>0.0%</c:formatCode>
                <c:ptCount val="16"/>
                <c:pt idx="0">
                  <c:v>1.6E-2</c:v>
                </c:pt>
                <c:pt idx="1">
                  <c:v>2.1999999999999999E-2</c:v>
                </c:pt>
                <c:pt idx="2">
                  <c:v>1.6E-2</c:v>
                </c:pt>
                <c:pt idx="3">
                  <c:v>0.03</c:v>
                </c:pt>
                <c:pt idx="4">
                  <c:v>1.4E-2</c:v>
                </c:pt>
                <c:pt idx="5">
                  <c:v>1.4E-2</c:v>
                </c:pt>
                <c:pt idx="6">
                  <c:v>2.5999999999999999E-2</c:v>
                </c:pt>
                <c:pt idx="7">
                  <c:v>2.8000000000000001E-2</c:v>
                </c:pt>
                <c:pt idx="8">
                  <c:v>1.6E-2</c:v>
                </c:pt>
                <c:pt idx="9">
                  <c:v>2.1999999999999999E-2</c:v>
                </c:pt>
                <c:pt idx="10">
                  <c:v>6.0000000000000001E-3</c:v>
                </c:pt>
                <c:pt idx="11">
                  <c:v>3.5999999999999997E-2</c:v>
                </c:pt>
                <c:pt idx="12">
                  <c:v>2.1999999999999999E-2</c:v>
                </c:pt>
                <c:pt idx="13">
                  <c:v>3.2000000000000001E-2</c:v>
                </c:pt>
                <c:pt idx="14">
                  <c:v>1.7999999999999999E-2</c:v>
                </c:pt>
                <c:pt idx="15">
                  <c:v>8.0000000000000002E-3</c:v>
                </c:pt>
              </c:numCache>
            </c:numRef>
          </c:val>
          <c:smooth val="0"/>
          <c:extLst>
            <c:ext xmlns:c16="http://schemas.microsoft.com/office/drawing/2014/chart" uri="{C3380CC4-5D6E-409C-BE32-E72D297353CC}">
              <c16:uniqueId val="{00000000-C9C9-4228-94DF-DEB2258E735D}"/>
            </c:ext>
          </c:extLst>
        </c:ser>
        <c:ser>
          <c:idx val="2"/>
          <c:order val="2"/>
          <c:tx>
            <c:strRef>
              <c:f>'Data Support'!$I$10:$I$11</c:f>
              <c:strCache>
                <c:ptCount val="1"/>
                <c:pt idx="0">
                  <c:v>Website</c:v>
                </c:pt>
              </c:strCache>
            </c:strRef>
          </c:tx>
          <c:spPr>
            <a:ln w="28575" cap="rnd">
              <a:solidFill>
                <a:schemeClr val="bg1">
                  <a:lumMod val="65000"/>
                </a:schemeClr>
              </a:solidFill>
              <a:round/>
            </a:ln>
            <a:effectLst/>
          </c:spPr>
          <c:marker>
            <c:symbol val="none"/>
          </c:marker>
          <c:cat>
            <c:multiLvlStrRef>
              <c:f>'Data Support'!$F$12:$F$31</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Support'!$I$12:$I$31</c:f>
              <c:numCache>
                <c:formatCode>0.0%</c:formatCode>
                <c:ptCount val="16"/>
                <c:pt idx="0">
                  <c:v>1.2E-2</c:v>
                </c:pt>
                <c:pt idx="1">
                  <c:v>1.6E-2</c:v>
                </c:pt>
                <c:pt idx="2">
                  <c:v>0.03</c:v>
                </c:pt>
                <c:pt idx="3">
                  <c:v>0.02</c:v>
                </c:pt>
                <c:pt idx="4">
                  <c:v>2.1999999999999999E-2</c:v>
                </c:pt>
                <c:pt idx="5">
                  <c:v>1.6E-2</c:v>
                </c:pt>
                <c:pt idx="6">
                  <c:v>2.5999999999999999E-2</c:v>
                </c:pt>
                <c:pt idx="7">
                  <c:v>2.5999999999999999E-2</c:v>
                </c:pt>
                <c:pt idx="8">
                  <c:v>3.2000000000000001E-2</c:v>
                </c:pt>
                <c:pt idx="9">
                  <c:v>0.02</c:v>
                </c:pt>
                <c:pt idx="10">
                  <c:v>1.4E-2</c:v>
                </c:pt>
                <c:pt idx="11">
                  <c:v>3.5999999999999997E-2</c:v>
                </c:pt>
                <c:pt idx="12">
                  <c:v>2.4E-2</c:v>
                </c:pt>
                <c:pt idx="13">
                  <c:v>3.4000000000000002E-2</c:v>
                </c:pt>
                <c:pt idx="14">
                  <c:v>0.02</c:v>
                </c:pt>
                <c:pt idx="15">
                  <c:v>6.0000000000000001E-3</c:v>
                </c:pt>
              </c:numCache>
            </c:numRef>
          </c:val>
          <c:smooth val="0"/>
          <c:extLst>
            <c:ext xmlns:c16="http://schemas.microsoft.com/office/drawing/2014/chart" uri="{C3380CC4-5D6E-409C-BE32-E72D297353CC}">
              <c16:uniqueId val="{00000001-C9C9-4228-94DF-DEB2258E735D}"/>
            </c:ext>
          </c:extLst>
        </c:ser>
        <c:dLbls>
          <c:showLegendKey val="0"/>
          <c:showVal val="0"/>
          <c:showCatName val="0"/>
          <c:showSerName val="0"/>
          <c:showPercent val="0"/>
          <c:showBubbleSize val="0"/>
        </c:dLbls>
        <c:smooth val="0"/>
        <c:axId val="57583135"/>
        <c:axId val="57586047"/>
      </c:lineChart>
      <c:catAx>
        <c:axId val="575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7586047"/>
        <c:crosses val="autoZero"/>
        <c:auto val="1"/>
        <c:lblAlgn val="ctr"/>
        <c:lblOffset val="100"/>
        <c:noMultiLvlLbl val="0"/>
      </c:catAx>
      <c:valAx>
        <c:axId val="575860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7583135"/>
        <c:crosses val="autoZero"/>
        <c:crossBetween val="between"/>
      </c:valAx>
      <c:spPr>
        <a:noFill/>
        <a:ln>
          <a:noFill/>
        </a:ln>
        <a:effectLst/>
      </c:spPr>
    </c:plotArea>
    <c:legend>
      <c:legendPos val="t"/>
      <c:layout>
        <c:manualLayout>
          <c:xMode val="edge"/>
          <c:yMode val="edge"/>
          <c:x val="0.14235779450771452"/>
          <c:y val="0.15533326538352346"/>
          <c:w val="0.79680651597388419"/>
          <c:h val="0.101836674757708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Support!PivotTable11</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Discounted Bookings (%) by</a:t>
            </a:r>
            <a:r>
              <a:rPr lang="vi-VN" sz="1200" b="1"/>
              <a:t> Channel</a:t>
            </a:r>
          </a:p>
        </c:rich>
      </c:tx>
      <c:layout>
        <c:manualLayout>
          <c:xMode val="edge"/>
          <c:yMode val="edge"/>
          <c:x val="0.14861158384978418"/>
          <c:y val="2.092125166741963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5B358"/>
          </a:solidFill>
          <a:ln w="19050">
            <a:solidFill>
              <a:schemeClr val="lt1"/>
            </a:solidFill>
          </a:ln>
          <a:effectLst/>
        </c:spPr>
      </c:pivotFmt>
      <c:pivotFmt>
        <c:idx val="11"/>
        <c:spPr>
          <a:solidFill>
            <a:schemeClr val="tx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5B358"/>
          </a:solidFill>
          <a:ln w="19050">
            <a:solidFill>
              <a:schemeClr val="lt1"/>
            </a:solidFill>
          </a:ln>
          <a:effectLst/>
        </c:spPr>
      </c:pivotFmt>
      <c:pivotFmt>
        <c:idx val="15"/>
        <c:spPr>
          <a:solidFill>
            <a:schemeClr val="tx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bg1">
              <a:lumMod val="65000"/>
            </a:schemeClr>
          </a:solidFill>
          <a:ln w="19050">
            <a:solidFill>
              <a:schemeClr val="lt1"/>
            </a:solidFill>
          </a:ln>
          <a:effectLst/>
        </c:spPr>
      </c:pivotFmt>
      <c:pivotFmt>
        <c:idx val="18"/>
        <c:spPr>
          <a:solidFill>
            <a:schemeClr val="bg1">
              <a:lumMod val="65000"/>
            </a:schemeClr>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rgbClr val="C5B358"/>
          </a:solidFill>
          <a:ln w="19050">
            <a:solidFill>
              <a:schemeClr val="lt1"/>
            </a:solidFill>
          </a:ln>
          <a:effectLst/>
        </c:spPr>
      </c:pivotFmt>
      <c:pivotFmt>
        <c:idx val="20"/>
        <c:spPr>
          <a:solidFill>
            <a:schemeClr val="tx1"/>
          </a:solidFill>
          <a:ln w="19050">
            <a:solidFill>
              <a:schemeClr val="lt1"/>
            </a:solidFill>
          </a:ln>
          <a:effectLst/>
        </c:spPr>
      </c:pivotFmt>
    </c:pivotFmts>
    <c:plotArea>
      <c:layout>
        <c:manualLayout>
          <c:layoutTarget val="inner"/>
          <c:xMode val="edge"/>
          <c:yMode val="edge"/>
          <c:x val="0.3033311578872574"/>
          <c:y val="0.11864985443668501"/>
          <c:w val="0.44160958933439565"/>
          <c:h val="0.74325176378918467"/>
        </c:manualLayout>
      </c:layout>
      <c:doughnutChart>
        <c:varyColors val="1"/>
        <c:ser>
          <c:idx val="0"/>
          <c:order val="0"/>
          <c:tx>
            <c:strRef>
              <c:f>'Data Support'!$C$46</c:f>
              <c:strCache>
                <c:ptCount val="1"/>
                <c:pt idx="0">
                  <c:v>Total</c:v>
                </c:pt>
              </c:strCache>
            </c:strRef>
          </c:tx>
          <c:spPr>
            <a:solidFill>
              <a:schemeClr val="bg1">
                <a:lumMod val="65000"/>
              </a:schemeClr>
            </a:solidFill>
          </c:spPr>
          <c:dPt>
            <c:idx val="0"/>
            <c:bubble3D val="0"/>
            <c:spPr>
              <a:solidFill>
                <a:srgbClr val="C5B358"/>
              </a:solidFill>
              <a:ln w="19050">
                <a:solidFill>
                  <a:schemeClr val="lt1"/>
                </a:solidFill>
              </a:ln>
              <a:effectLst/>
            </c:spPr>
            <c:extLst>
              <c:ext xmlns:c16="http://schemas.microsoft.com/office/drawing/2014/chart" uri="{C3380CC4-5D6E-409C-BE32-E72D297353CC}">
                <c16:uniqueId val="{00000001-983C-47C2-B175-89EF41E75B10}"/>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983C-47C2-B175-89EF41E75B10}"/>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983C-47C2-B175-89EF41E75B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Support'!$B$47:$B$50</c:f>
              <c:strCache>
                <c:ptCount val="3"/>
                <c:pt idx="0">
                  <c:v>Mobile App</c:v>
                </c:pt>
                <c:pt idx="1">
                  <c:v>Third-Party OTA</c:v>
                </c:pt>
                <c:pt idx="2">
                  <c:v>Website</c:v>
                </c:pt>
              </c:strCache>
            </c:strRef>
          </c:cat>
          <c:val>
            <c:numRef>
              <c:f>'Data Support'!$C$47:$C$50</c:f>
              <c:numCache>
                <c:formatCode>General</c:formatCode>
                <c:ptCount val="3"/>
                <c:pt idx="0">
                  <c:v>135</c:v>
                </c:pt>
                <c:pt idx="1">
                  <c:v>143</c:v>
                </c:pt>
                <c:pt idx="2">
                  <c:v>152</c:v>
                </c:pt>
              </c:numCache>
            </c:numRef>
          </c:val>
          <c:extLst>
            <c:ext xmlns:c16="http://schemas.microsoft.com/office/drawing/2014/chart" uri="{C3380CC4-5D6E-409C-BE32-E72D297353CC}">
              <c16:uniqueId val="{00000006-983C-47C2-B175-89EF41E75B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5618486132869627"/>
          <c:y val="0.86065414015061481"/>
          <c:w val="0.64930762900224892"/>
          <c:h val="0.139346049587433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Support!PivotTable14</c:name>
    <c:fmtId val="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Applied Promotion Volume by Channel</a:t>
            </a:r>
          </a:p>
        </c:rich>
      </c:tx>
      <c:layout>
        <c:manualLayout>
          <c:xMode val="edge"/>
          <c:yMode val="edge"/>
          <c:x val="0.12394213150439823"/>
          <c:y val="2.1196589185066252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5B358"/>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 Support'!$G$46</c:f>
              <c:strCache>
                <c:ptCount val="1"/>
                <c:pt idx="0">
                  <c:v>Total</c:v>
                </c:pt>
              </c:strCache>
            </c:strRef>
          </c:tx>
          <c:spPr>
            <a:solidFill>
              <a:srgbClr val="C5B358"/>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Support'!$F$47:$F$50</c:f>
              <c:strCache>
                <c:ptCount val="3"/>
                <c:pt idx="0">
                  <c:v>Mobile App</c:v>
                </c:pt>
                <c:pt idx="1">
                  <c:v>Third-Party OTA</c:v>
                </c:pt>
                <c:pt idx="2">
                  <c:v>Website</c:v>
                </c:pt>
              </c:strCache>
            </c:strRef>
          </c:cat>
          <c:val>
            <c:numRef>
              <c:f>'Data Support'!$G$47:$G$50</c:f>
              <c:numCache>
                <c:formatCode>General</c:formatCode>
                <c:ptCount val="3"/>
                <c:pt idx="0">
                  <c:v>1975</c:v>
                </c:pt>
                <c:pt idx="1">
                  <c:v>2170</c:v>
                </c:pt>
                <c:pt idx="2">
                  <c:v>2320</c:v>
                </c:pt>
              </c:numCache>
            </c:numRef>
          </c:val>
          <c:extLst>
            <c:ext xmlns:c16="http://schemas.microsoft.com/office/drawing/2014/chart" uri="{C3380CC4-5D6E-409C-BE32-E72D297353CC}">
              <c16:uniqueId val="{00000000-BA5F-43AD-A645-21BE5616FD16}"/>
            </c:ext>
          </c:extLst>
        </c:ser>
        <c:dLbls>
          <c:dLblPos val="outEnd"/>
          <c:showLegendKey val="0"/>
          <c:showVal val="1"/>
          <c:showCatName val="0"/>
          <c:showSerName val="0"/>
          <c:showPercent val="0"/>
          <c:showBubbleSize val="0"/>
        </c:dLbls>
        <c:gapWidth val="219"/>
        <c:overlap val="-27"/>
        <c:axId val="606523663"/>
        <c:axId val="606514927"/>
      </c:barChart>
      <c:catAx>
        <c:axId val="60652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06514927"/>
        <c:crosses val="autoZero"/>
        <c:auto val="1"/>
        <c:lblAlgn val="ctr"/>
        <c:lblOffset val="100"/>
        <c:noMultiLvlLbl val="0"/>
      </c:catAx>
      <c:valAx>
        <c:axId val="606514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065236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2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Support!PivotTable15</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Promotion Adoption Trend Over Time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C5B358"/>
            </a:solidFill>
            <a:ln w="9525">
              <a:no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5B358"/>
            </a:solidFill>
            <a:round/>
          </a:ln>
          <a:effectLst/>
        </c:spPr>
        <c:marker>
          <c:symbol val="none"/>
        </c:marker>
      </c:pivotFmt>
      <c:pivotFmt>
        <c:idx val="6"/>
        <c:spPr>
          <a:ln w="28575" cap="rnd">
            <a:solidFill>
              <a:srgbClr val="C5B358"/>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rgbClr val="C5B358"/>
            </a:solidFill>
            <a:round/>
          </a:ln>
          <a:effectLst/>
        </c:spPr>
        <c:marker>
          <c:symbol val="none"/>
        </c:marker>
      </c:pivotFmt>
    </c:pivotFmts>
    <c:plotArea>
      <c:layout/>
      <c:lineChart>
        <c:grouping val="standard"/>
        <c:varyColors val="0"/>
        <c:ser>
          <c:idx val="0"/>
          <c:order val="0"/>
          <c:tx>
            <c:strRef>
              <c:f>'Data Support'!$K$46</c:f>
              <c:strCache>
                <c:ptCount val="1"/>
                <c:pt idx="0">
                  <c:v>Total</c:v>
                </c:pt>
              </c:strCache>
            </c:strRef>
          </c:tx>
          <c:spPr>
            <a:ln w="28575" cap="rnd">
              <a:solidFill>
                <a:srgbClr val="C5B35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'Data Support'!$J$47:$J$66</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Support'!$K$47:$K$66</c:f>
              <c:numCache>
                <c:formatCode>General</c:formatCode>
                <c:ptCount val="16"/>
                <c:pt idx="0">
                  <c:v>295</c:v>
                </c:pt>
                <c:pt idx="1">
                  <c:v>335</c:v>
                </c:pt>
                <c:pt idx="2">
                  <c:v>445</c:v>
                </c:pt>
                <c:pt idx="3">
                  <c:v>500</c:v>
                </c:pt>
                <c:pt idx="4">
                  <c:v>300</c:v>
                </c:pt>
                <c:pt idx="5">
                  <c:v>335</c:v>
                </c:pt>
                <c:pt idx="6">
                  <c:v>380</c:v>
                </c:pt>
                <c:pt idx="7">
                  <c:v>480</c:v>
                </c:pt>
                <c:pt idx="8">
                  <c:v>490</c:v>
                </c:pt>
                <c:pt idx="9">
                  <c:v>435</c:v>
                </c:pt>
                <c:pt idx="10">
                  <c:v>205</c:v>
                </c:pt>
                <c:pt idx="11">
                  <c:v>630</c:v>
                </c:pt>
                <c:pt idx="12">
                  <c:v>550</c:v>
                </c:pt>
                <c:pt idx="13">
                  <c:v>520</c:v>
                </c:pt>
                <c:pt idx="14">
                  <c:v>480</c:v>
                </c:pt>
                <c:pt idx="15">
                  <c:v>85</c:v>
                </c:pt>
              </c:numCache>
            </c:numRef>
          </c:val>
          <c:smooth val="0"/>
          <c:extLst>
            <c:ext xmlns:c16="http://schemas.microsoft.com/office/drawing/2014/chart" uri="{C3380CC4-5D6E-409C-BE32-E72D297353CC}">
              <c16:uniqueId val="{00000000-90B3-4BE7-804C-F62CD089377D}"/>
            </c:ext>
          </c:extLst>
        </c:ser>
        <c:dLbls>
          <c:dLblPos val="t"/>
          <c:showLegendKey val="0"/>
          <c:showVal val="1"/>
          <c:showCatName val="0"/>
          <c:showSerName val="0"/>
          <c:showPercent val="0"/>
          <c:showBubbleSize val="0"/>
        </c:dLbls>
        <c:smooth val="0"/>
        <c:axId val="606502031"/>
        <c:axId val="606524911"/>
      </c:lineChart>
      <c:catAx>
        <c:axId val="60650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06524911"/>
        <c:crosses val="autoZero"/>
        <c:auto val="1"/>
        <c:lblAlgn val="ctr"/>
        <c:lblOffset val="100"/>
        <c:noMultiLvlLbl val="0"/>
      </c:catAx>
      <c:valAx>
        <c:axId val="60652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065020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C</a:t>
            </a:r>
            <a:r>
              <a:rPr lang="vi-VN" sz="1200" b="1"/>
              <a:t>orrelation:</a:t>
            </a:r>
            <a:r>
              <a:rPr lang="en-US" sz="1200" b="1"/>
              <a:t> Promo Volume </a:t>
            </a:r>
            <a:r>
              <a:rPr lang="vi-VN" sz="1200" b="1"/>
              <a:t>vs</a:t>
            </a:r>
            <a:r>
              <a:rPr lang="en-US" sz="1200" b="1"/>
              <a:t> OTB Revenue Performance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scatterChart>
        <c:scatterStyle val="lineMarker"/>
        <c:varyColors val="0"/>
        <c:ser>
          <c:idx val="0"/>
          <c:order val="0"/>
          <c:tx>
            <c:strRef>
              <c:f>'Data Support'!$AE$46</c:f>
              <c:strCache>
                <c:ptCount val="1"/>
                <c:pt idx="0">
                  <c:v>Sum of Discount Applied</c:v>
                </c:pt>
              </c:strCache>
            </c:strRef>
          </c:tx>
          <c:spPr>
            <a:ln w="19050" cap="rnd">
              <a:noFill/>
              <a:round/>
            </a:ln>
            <a:effectLst/>
          </c:spPr>
          <c:marker>
            <c:symbol val="circle"/>
            <c:size val="5"/>
            <c:spPr>
              <a:solidFill>
                <a:srgbClr val="C5B358"/>
              </a:solidFill>
              <a:ln w="9525">
                <a:noFill/>
              </a:ln>
              <a:effectLst/>
            </c:spPr>
          </c:marker>
          <c:trendline>
            <c:spPr>
              <a:ln w="19050" cap="rnd">
                <a:solidFill>
                  <a:schemeClr val="tx1"/>
                </a:solidFill>
                <a:prstDash val="sysDot"/>
              </a:ln>
              <a:effectLst/>
            </c:spPr>
            <c:trendlineType val="linear"/>
            <c:dispRSqr val="0"/>
            <c:dispEq val="0"/>
          </c:trendline>
          <c:xVal>
            <c:numRef>
              <c:f>'Data Support'!$AD$47:$AD$65</c:f>
              <c:numCache>
                <c:formatCode>_("$"* #,##0_);_("$"* \(#,##0\);_("$"* "-"??_);_(@_)</c:formatCode>
                <c:ptCount val="19"/>
                <c:pt idx="1">
                  <c:v>11195.920000000002</c:v>
                </c:pt>
                <c:pt idx="2">
                  <c:v>10764.849999999999</c:v>
                </c:pt>
                <c:pt idx="3">
                  <c:v>9420.7900000000009</c:v>
                </c:pt>
                <c:pt idx="4">
                  <c:v>17811.470000000005</c:v>
                </c:pt>
                <c:pt idx="5">
                  <c:v>12507.220000000001</c:v>
                </c:pt>
                <c:pt idx="7">
                  <c:v>12415.13</c:v>
                </c:pt>
                <c:pt idx="8">
                  <c:v>10765.470000000001</c:v>
                </c:pt>
                <c:pt idx="9">
                  <c:v>13184.36</c:v>
                </c:pt>
                <c:pt idx="10">
                  <c:v>17294.339999999997</c:v>
                </c:pt>
                <c:pt idx="11">
                  <c:v>10043.09</c:v>
                </c:pt>
                <c:pt idx="13">
                  <c:v>3350.3199999999997</c:v>
                </c:pt>
                <c:pt idx="14">
                  <c:v>30511.450000000008</c:v>
                </c:pt>
                <c:pt idx="15">
                  <c:v>15980.060000000001</c:v>
                </c:pt>
                <c:pt idx="16">
                  <c:v>14756.699999999999</c:v>
                </c:pt>
                <c:pt idx="17">
                  <c:v>15935.769999999999</c:v>
                </c:pt>
                <c:pt idx="18">
                  <c:v>3497.88</c:v>
                </c:pt>
              </c:numCache>
            </c:numRef>
          </c:xVal>
          <c:yVal>
            <c:numRef>
              <c:f>'Data Support'!$AE$47:$AE$65</c:f>
              <c:numCache>
                <c:formatCode>General</c:formatCode>
                <c:ptCount val="19"/>
                <c:pt idx="1">
                  <c:v>115</c:v>
                </c:pt>
                <c:pt idx="2">
                  <c:v>175</c:v>
                </c:pt>
                <c:pt idx="3">
                  <c:v>200</c:v>
                </c:pt>
                <c:pt idx="4">
                  <c:v>370</c:v>
                </c:pt>
                <c:pt idx="5">
                  <c:v>165</c:v>
                </c:pt>
                <c:pt idx="7">
                  <c:v>205</c:v>
                </c:pt>
                <c:pt idx="8">
                  <c:v>175</c:v>
                </c:pt>
                <c:pt idx="9">
                  <c:v>220</c:v>
                </c:pt>
                <c:pt idx="10">
                  <c:v>265</c:v>
                </c:pt>
                <c:pt idx="11">
                  <c:v>185</c:v>
                </c:pt>
                <c:pt idx="13">
                  <c:v>55</c:v>
                </c:pt>
                <c:pt idx="14">
                  <c:v>375</c:v>
                </c:pt>
                <c:pt idx="15">
                  <c:v>320</c:v>
                </c:pt>
                <c:pt idx="16">
                  <c:v>285</c:v>
                </c:pt>
                <c:pt idx="17">
                  <c:v>240</c:v>
                </c:pt>
                <c:pt idx="18">
                  <c:v>25</c:v>
                </c:pt>
              </c:numCache>
            </c:numRef>
          </c:yVal>
          <c:smooth val="0"/>
          <c:extLst>
            <c:ext xmlns:c16="http://schemas.microsoft.com/office/drawing/2014/chart" uri="{C3380CC4-5D6E-409C-BE32-E72D297353CC}">
              <c16:uniqueId val="{00000000-8E98-428C-A866-951EC8B57501}"/>
            </c:ext>
          </c:extLst>
        </c:ser>
        <c:dLbls>
          <c:showLegendKey val="0"/>
          <c:showVal val="0"/>
          <c:showCatName val="0"/>
          <c:showSerName val="0"/>
          <c:showPercent val="0"/>
          <c:showBubbleSize val="0"/>
        </c:dLbls>
        <c:axId val="57565247"/>
        <c:axId val="57559423"/>
      </c:scatterChart>
      <c:valAx>
        <c:axId val="57565247"/>
        <c:scaling>
          <c:orientation val="minMax"/>
        </c:scaling>
        <c:delete val="0"/>
        <c:axPos val="b"/>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7559423"/>
        <c:crosses val="autoZero"/>
        <c:crossBetween val="midCat"/>
      </c:valAx>
      <c:valAx>
        <c:axId val="575594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756524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Correlation: Booking Volume vs. Promotion Adoption</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5.7201091099587605E-2"/>
          <c:y val="0.16383112189499091"/>
          <c:w val="0.91179574328120927"/>
          <c:h val="0.71993929288872627"/>
        </c:manualLayout>
      </c:layout>
      <c:scatterChart>
        <c:scatterStyle val="lineMarker"/>
        <c:varyColors val="0"/>
        <c:ser>
          <c:idx val="0"/>
          <c:order val="0"/>
          <c:tx>
            <c:strRef>
              <c:f>'Data Support'!$S$46</c:f>
              <c:strCache>
                <c:ptCount val="1"/>
                <c:pt idx="0">
                  <c:v>Sum of Discount Applied</c:v>
                </c:pt>
              </c:strCache>
            </c:strRef>
          </c:tx>
          <c:spPr>
            <a:ln w="19050" cap="rnd">
              <a:noFill/>
              <a:round/>
            </a:ln>
            <a:effectLst/>
          </c:spPr>
          <c:marker>
            <c:symbol val="circle"/>
            <c:size val="5"/>
            <c:spPr>
              <a:solidFill>
                <a:srgbClr val="C5B358"/>
              </a:solidFill>
              <a:ln w="9525">
                <a:noFill/>
              </a:ln>
              <a:effectLst/>
            </c:spPr>
          </c:marker>
          <c:trendline>
            <c:spPr>
              <a:ln w="19050" cap="rnd">
                <a:solidFill>
                  <a:schemeClr val="tx1"/>
                </a:solidFill>
                <a:prstDash val="sysDot"/>
              </a:ln>
              <a:effectLst/>
            </c:spPr>
            <c:trendlineType val="linear"/>
            <c:dispRSqr val="0"/>
            <c:dispEq val="0"/>
          </c:trendline>
          <c:xVal>
            <c:numRef>
              <c:f>'Data Support'!$R$47:$R$65</c:f>
              <c:numCache>
                <c:formatCode>General</c:formatCode>
                <c:ptCount val="19"/>
                <c:pt idx="1">
                  <c:v>27</c:v>
                </c:pt>
                <c:pt idx="2">
                  <c:v>27</c:v>
                </c:pt>
                <c:pt idx="3">
                  <c:v>30</c:v>
                </c:pt>
                <c:pt idx="4">
                  <c:v>36</c:v>
                </c:pt>
                <c:pt idx="5">
                  <c:v>26</c:v>
                </c:pt>
                <c:pt idx="7">
                  <c:v>20</c:v>
                </c:pt>
                <c:pt idx="8">
                  <c:v>36</c:v>
                </c:pt>
                <c:pt idx="9">
                  <c:v>40</c:v>
                </c:pt>
                <c:pt idx="10">
                  <c:v>33</c:v>
                </c:pt>
                <c:pt idx="11">
                  <c:v>32</c:v>
                </c:pt>
                <c:pt idx="13">
                  <c:v>16</c:v>
                </c:pt>
                <c:pt idx="14">
                  <c:v>52</c:v>
                </c:pt>
                <c:pt idx="15">
                  <c:v>37</c:v>
                </c:pt>
                <c:pt idx="16">
                  <c:v>42</c:v>
                </c:pt>
                <c:pt idx="17">
                  <c:v>38</c:v>
                </c:pt>
                <c:pt idx="18">
                  <c:v>8</c:v>
                </c:pt>
              </c:numCache>
            </c:numRef>
          </c:xVal>
          <c:yVal>
            <c:numRef>
              <c:f>'Data Support'!$S$47:$S$65</c:f>
              <c:numCache>
                <c:formatCode>General</c:formatCode>
                <c:ptCount val="19"/>
                <c:pt idx="1">
                  <c:v>295</c:v>
                </c:pt>
                <c:pt idx="2">
                  <c:v>335</c:v>
                </c:pt>
                <c:pt idx="3">
                  <c:v>445</c:v>
                </c:pt>
                <c:pt idx="4">
                  <c:v>500</c:v>
                </c:pt>
                <c:pt idx="5">
                  <c:v>300</c:v>
                </c:pt>
                <c:pt idx="7">
                  <c:v>335</c:v>
                </c:pt>
                <c:pt idx="8">
                  <c:v>380</c:v>
                </c:pt>
                <c:pt idx="9">
                  <c:v>480</c:v>
                </c:pt>
                <c:pt idx="10">
                  <c:v>490</c:v>
                </c:pt>
                <c:pt idx="11">
                  <c:v>435</c:v>
                </c:pt>
                <c:pt idx="13">
                  <c:v>205</c:v>
                </c:pt>
                <c:pt idx="14">
                  <c:v>630</c:v>
                </c:pt>
                <c:pt idx="15">
                  <c:v>550</c:v>
                </c:pt>
                <c:pt idx="16">
                  <c:v>520</c:v>
                </c:pt>
                <c:pt idx="17">
                  <c:v>480</c:v>
                </c:pt>
                <c:pt idx="18">
                  <c:v>85</c:v>
                </c:pt>
              </c:numCache>
            </c:numRef>
          </c:yVal>
          <c:smooth val="0"/>
          <c:extLst>
            <c:ext xmlns:c16="http://schemas.microsoft.com/office/drawing/2014/chart" uri="{C3380CC4-5D6E-409C-BE32-E72D297353CC}">
              <c16:uniqueId val="{00000000-4825-4F98-AEBA-5E3ED72C6391}"/>
            </c:ext>
          </c:extLst>
        </c:ser>
        <c:dLbls>
          <c:showLegendKey val="0"/>
          <c:showVal val="0"/>
          <c:showCatName val="0"/>
          <c:showSerName val="0"/>
          <c:showPercent val="0"/>
          <c:showBubbleSize val="0"/>
        </c:dLbls>
        <c:axId val="54998767"/>
        <c:axId val="55000847"/>
      </c:scatterChart>
      <c:valAx>
        <c:axId val="5499876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5000847"/>
        <c:crosses val="autoZero"/>
        <c:crossBetween val="midCat"/>
      </c:valAx>
      <c:valAx>
        <c:axId val="5500084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499876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Support!PivotTable27</c:name>
    <c:fmtId val="2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vi-VN" sz="1200" b="1"/>
              <a:t>Average Length of Stay by Loyalty Tier</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rgbClr val="C5B3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Support'!$C$116</c:f>
              <c:strCache>
                <c:ptCount val="1"/>
                <c:pt idx="0">
                  <c:v>Total</c:v>
                </c:pt>
              </c:strCache>
            </c:strRef>
          </c:tx>
          <c:spPr>
            <a:solidFill>
              <a:srgbClr val="C5B35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Support'!$B$117:$B$123</c:f>
              <c:strCache>
                <c:ptCount val="6"/>
                <c:pt idx="0">
                  <c:v>Non-Member</c:v>
                </c:pt>
                <c:pt idx="1">
                  <c:v>Silver</c:v>
                </c:pt>
                <c:pt idx="2">
                  <c:v>Gold</c:v>
                </c:pt>
                <c:pt idx="3">
                  <c:v>Platinum</c:v>
                </c:pt>
                <c:pt idx="4">
                  <c:v>Titanium</c:v>
                </c:pt>
                <c:pt idx="5">
                  <c:v>Ambassador</c:v>
                </c:pt>
              </c:strCache>
            </c:strRef>
          </c:cat>
          <c:val>
            <c:numRef>
              <c:f>'Data Support'!$C$117:$C$123</c:f>
              <c:numCache>
                <c:formatCode>0.0</c:formatCode>
                <c:ptCount val="6"/>
                <c:pt idx="0">
                  <c:v>5.1097560975609753</c:v>
                </c:pt>
                <c:pt idx="1">
                  <c:v>5.7307692307692308</c:v>
                </c:pt>
                <c:pt idx="2">
                  <c:v>5.9358974358974361</c:v>
                </c:pt>
                <c:pt idx="3">
                  <c:v>5.5176470588235293</c:v>
                </c:pt>
                <c:pt idx="4">
                  <c:v>5.4090909090909092</c:v>
                </c:pt>
                <c:pt idx="5">
                  <c:v>5.786516853932584</c:v>
                </c:pt>
              </c:numCache>
            </c:numRef>
          </c:val>
          <c:extLst>
            <c:ext xmlns:c16="http://schemas.microsoft.com/office/drawing/2014/chart" uri="{C3380CC4-5D6E-409C-BE32-E72D297353CC}">
              <c16:uniqueId val="{00000000-94FE-45B8-BA2B-DB8A2E2FC2BF}"/>
            </c:ext>
          </c:extLst>
        </c:ser>
        <c:dLbls>
          <c:dLblPos val="outEnd"/>
          <c:showLegendKey val="0"/>
          <c:showVal val="1"/>
          <c:showCatName val="0"/>
          <c:showSerName val="0"/>
          <c:showPercent val="0"/>
          <c:showBubbleSize val="0"/>
        </c:dLbls>
        <c:gapWidth val="219"/>
        <c:overlap val="-27"/>
        <c:axId val="680001903"/>
        <c:axId val="680013551"/>
      </c:barChart>
      <c:catAx>
        <c:axId val="6800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crossAx val="680013551"/>
        <c:crosses val="autoZero"/>
        <c:auto val="1"/>
        <c:lblAlgn val="ctr"/>
        <c:lblOffset val="100"/>
        <c:noMultiLvlLbl val="0"/>
      </c:catAx>
      <c:valAx>
        <c:axId val="6800135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crossAx val="6800019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Support!PivotTable22</c:name>
    <c:fmtId val="10"/>
  </c:pivotSource>
  <c:chart>
    <c:title>
      <c:tx>
        <c:rich>
          <a:bodyPr rot="0" spcFirstLastPara="1" vertOverflow="ellipsis" vert="horz" wrap="square" anchor="ctr" anchorCtr="1"/>
          <a:lstStyle/>
          <a:p>
            <a:pPr>
              <a:defRPr sz="1200" b="1" i="0" u="none" strike="noStrike" kern="1200" spc="0" baseline="0">
                <a:solidFill>
                  <a:schemeClr val="bg1">
                    <a:lumMod val="50000"/>
                  </a:schemeClr>
                </a:solidFill>
                <a:latin typeface="Segoe UI" panose="020B0502040204020203" pitchFamily="34" charset="0"/>
                <a:ea typeface="+mn-ea"/>
                <a:cs typeface="Segoe UI" panose="020B0502040204020203" pitchFamily="34" charset="0"/>
              </a:defRPr>
            </a:pPr>
            <a:r>
              <a:rPr lang="vi-VN" sz="1200" b="1">
                <a:solidFill>
                  <a:schemeClr val="bg1">
                    <a:lumMod val="50000"/>
                  </a:schemeClr>
                </a:solidFill>
              </a:rPr>
              <a:t>Marriott Bonvoy Member Contribution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solidFill>
          <a:ln w="19050">
            <a:solidFill>
              <a:schemeClr val="lt1"/>
            </a:solidFill>
          </a:ln>
          <a:effectLst/>
        </c:spPr>
      </c:pivotFmt>
      <c:pivotFmt>
        <c:idx val="25"/>
        <c:spPr>
          <a:solidFill>
            <a:schemeClr val="bg1">
              <a:lumMod val="75000"/>
            </a:schemeClr>
          </a:solidFill>
          <a:ln w="19050">
            <a:solidFill>
              <a:schemeClr val="lt1"/>
            </a:solidFill>
          </a:ln>
          <a:effectLst/>
        </c:spPr>
      </c:pivotFmt>
      <c:pivotFmt>
        <c:idx val="26"/>
        <c:spPr>
          <a:solidFill>
            <a:schemeClr val="bg1">
              <a:lumMod val="50000"/>
            </a:schemeClr>
          </a:solidFill>
          <a:ln w="19050">
            <a:solidFill>
              <a:schemeClr val="lt1"/>
            </a:solidFill>
          </a:ln>
          <a:effectLst/>
        </c:spPr>
      </c:pivotFmt>
      <c:pivotFmt>
        <c:idx val="27"/>
        <c:spPr>
          <a:solidFill>
            <a:schemeClr val="tx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C5B358"/>
          </a:solidFill>
          <a:ln w="19050">
            <a:solidFill>
              <a:schemeClr val="lt1"/>
            </a:solidFill>
          </a:ln>
          <a:effectLst/>
        </c:spPr>
      </c:pivotFmt>
      <c:pivotFmt>
        <c:idx val="29"/>
        <c:spPr>
          <a:solidFill>
            <a:srgbClr val="A28B55"/>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rgbClr val="A28B55"/>
          </a:solidFill>
          <a:ln w="19050">
            <a:solidFill>
              <a:schemeClr val="lt1"/>
            </a:solidFill>
          </a:ln>
          <a:effectLst/>
        </c:spPr>
      </c:pivotFmt>
      <c:pivotFmt>
        <c:idx val="32"/>
        <c:spPr>
          <a:solidFill>
            <a:srgbClr val="C5B358"/>
          </a:solidFill>
          <a:ln w="19050">
            <a:solidFill>
              <a:schemeClr val="lt1"/>
            </a:solidFill>
          </a:ln>
          <a:effectLst/>
        </c:spPr>
      </c:pivotFmt>
      <c:pivotFmt>
        <c:idx val="33"/>
        <c:spPr>
          <a:solidFill>
            <a:schemeClr val="tx1"/>
          </a:solidFill>
          <a:ln w="19050">
            <a:solidFill>
              <a:schemeClr val="lt1"/>
            </a:solidFill>
          </a:ln>
          <a:effectLst/>
        </c:spPr>
      </c:pivotFmt>
      <c:pivotFmt>
        <c:idx val="34"/>
        <c:spPr>
          <a:solidFill>
            <a:schemeClr val="bg1">
              <a:lumMod val="50000"/>
            </a:schemeClr>
          </a:solidFill>
          <a:ln w="19050">
            <a:solidFill>
              <a:schemeClr val="lt1"/>
            </a:solidFill>
          </a:ln>
          <a:effectLst/>
        </c:spPr>
      </c:pivotFmt>
      <c:pivotFmt>
        <c:idx val="35"/>
        <c:spPr>
          <a:solidFill>
            <a:schemeClr val="bg1">
              <a:lumMod val="75000"/>
            </a:schemeClr>
          </a:solidFill>
          <a:ln w="19050">
            <a:solidFill>
              <a:schemeClr val="lt1"/>
            </a:solidFill>
          </a:ln>
          <a:effectLst/>
        </c:spPr>
      </c:pivotFmt>
      <c:pivotFmt>
        <c:idx val="36"/>
        <c:spPr>
          <a:solidFill>
            <a:schemeClr val="bg2"/>
          </a:solidFill>
          <a:ln w="19050">
            <a:solidFill>
              <a:schemeClr val="lt1"/>
            </a:solidFill>
          </a:ln>
          <a:effectLst/>
        </c:spPr>
      </c:pivotFmt>
    </c:pivotFmts>
    <c:plotArea>
      <c:layout>
        <c:manualLayout>
          <c:layoutTarget val="inner"/>
          <c:xMode val="edge"/>
          <c:yMode val="edge"/>
          <c:x val="5.3435143810269446E-2"/>
          <c:y val="0.1643154568459935"/>
          <c:w val="0.58881547285244384"/>
          <c:h val="0.80439547677605094"/>
        </c:manualLayout>
      </c:layout>
      <c:doughnutChart>
        <c:varyColors val="1"/>
        <c:ser>
          <c:idx val="0"/>
          <c:order val="0"/>
          <c:tx>
            <c:strRef>
              <c:f>'Data Support'!$G$91</c:f>
              <c:strCache>
                <c:ptCount val="1"/>
                <c:pt idx="0">
                  <c:v>Total</c:v>
                </c:pt>
              </c:strCache>
            </c:strRef>
          </c:tx>
          <c:dPt>
            <c:idx val="0"/>
            <c:bubble3D val="0"/>
            <c:spPr>
              <a:solidFill>
                <a:schemeClr val="bg2"/>
              </a:solidFill>
              <a:ln w="19050">
                <a:solidFill>
                  <a:schemeClr val="lt1"/>
                </a:solidFill>
              </a:ln>
              <a:effectLst/>
            </c:spPr>
            <c:extLst>
              <c:ext xmlns:c16="http://schemas.microsoft.com/office/drawing/2014/chart" uri="{C3380CC4-5D6E-409C-BE32-E72D297353CC}">
                <c16:uniqueId val="{00000001-7E1B-400C-BBFC-F4AA497EE859}"/>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E1B-400C-BBFC-F4AA497EE859}"/>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7E1B-400C-BBFC-F4AA497EE859}"/>
              </c:ext>
            </c:extLst>
          </c:dPt>
          <c:dPt>
            <c:idx val="3"/>
            <c:bubble3D val="0"/>
            <c:spPr>
              <a:solidFill>
                <a:schemeClr val="tx1"/>
              </a:solidFill>
              <a:ln w="19050">
                <a:solidFill>
                  <a:schemeClr val="lt1"/>
                </a:solidFill>
              </a:ln>
              <a:effectLst/>
            </c:spPr>
            <c:extLst>
              <c:ext xmlns:c16="http://schemas.microsoft.com/office/drawing/2014/chart" uri="{C3380CC4-5D6E-409C-BE32-E72D297353CC}">
                <c16:uniqueId val="{00000007-7E1B-400C-BBFC-F4AA497EE859}"/>
              </c:ext>
            </c:extLst>
          </c:dPt>
          <c:dPt>
            <c:idx val="4"/>
            <c:bubble3D val="0"/>
            <c:spPr>
              <a:solidFill>
                <a:srgbClr val="C5B358"/>
              </a:solidFill>
              <a:ln w="19050">
                <a:solidFill>
                  <a:schemeClr val="lt1"/>
                </a:solidFill>
              </a:ln>
              <a:effectLst/>
            </c:spPr>
            <c:extLst>
              <c:ext xmlns:c16="http://schemas.microsoft.com/office/drawing/2014/chart" uri="{C3380CC4-5D6E-409C-BE32-E72D297353CC}">
                <c16:uniqueId val="{00000009-7E1B-400C-BBFC-F4AA497EE859}"/>
              </c:ext>
            </c:extLst>
          </c:dPt>
          <c:dPt>
            <c:idx val="5"/>
            <c:bubble3D val="0"/>
            <c:spPr>
              <a:solidFill>
                <a:srgbClr val="A28B55"/>
              </a:solidFill>
              <a:ln w="19050">
                <a:solidFill>
                  <a:schemeClr val="lt1"/>
                </a:solidFill>
              </a:ln>
              <a:effectLst/>
            </c:spPr>
            <c:extLst>
              <c:ext xmlns:c16="http://schemas.microsoft.com/office/drawing/2014/chart" uri="{C3380CC4-5D6E-409C-BE32-E72D297353CC}">
                <c16:uniqueId val="{0000000B-7E1B-400C-BBFC-F4AA497EE85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Support'!$F$92:$F$98</c:f>
              <c:strCache>
                <c:ptCount val="6"/>
                <c:pt idx="0">
                  <c:v>Non-Member</c:v>
                </c:pt>
                <c:pt idx="1">
                  <c:v>Silver</c:v>
                </c:pt>
                <c:pt idx="2">
                  <c:v>Gold</c:v>
                </c:pt>
                <c:pt idx="3">
                  <c:v>Platinum</c:v>
                </c:pt>
                <c:pt idx="4">
                  <c:v>Titanium</c:v>
                </c:pt>
                <c:pt idx="5">
                  <c:v>Ambassador</c:v>
                </c:pt>
              </c:strCache>
            </c:strRef>
          </c:cat>
          <c:val>
            <c:numRef>
              <c:f>'Data Support'!$G$92:$G$98</c:f>
              <c:numCache>
                <c:formatCode>0%</c:formatCode>
                <c:ptCount val="6"/>
                <c:pt idx="0">
                  <c:v>0.16770186335403728</c:v>
                </c:pt>
                <c:pt idx="1">
                  <c:v>0.16149068322981366</c:v>
                </c:pt>
                <c:pt idx="2">
                  <c:v>0.16149068322981366</c:v>
                </c:pt>
                <c:pt idx="3">
                  <c:v>0.17391304347826086</c:v>
                </c:pt>
                <c:pt idx="4">
                  <c:v>0.18219461697722567</c:v>
                </c:pt>
                <c:pt idx="5">
                  <c:v>0.18426501035196688</c:v>
                </c:pt>
              </c:numCache>
            </c:numRef>
          </c:val>
          <c:extLst>
            <c:ext xmlns:c16="http://schemas.microsoft.com/office/drawing/2014/chart" uri="{C3380CC4-5D6E-409C-BE32-E72D297353CC}">
              <c16:uniqueId val="{0000000C-7E1B-400C-BBFC-F4AA497EE8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Support!PivotTable24</c:name>
    <c:fmtId val="1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Room Type Preference by Loyalty Tier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C5B3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C5B3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Support'!$K$91:$K$92</c:f>
              <c:strCache>
                <c:ptCount val="1"/>
                <c:pt idx="0">
                  <c:v>Standard</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Support'!$K$93:$K$99</c:f>
              <c:numCache>
                <c:formatCode>0%</c:formatCode>
                <c:ptCount val="6"/>
                <c:pt idx="0">
                  <c:v>0.14049586776859505</c:v>
                </c:pt>
                <c:pt idx="1">
                  <c:v>0.14049586776859505</c:v>
                </c:pt>
                <c:pt idx="2">
                  <c:v>0.18181818181818182</c:v>
                </c:pt>
                <c:pt idx="3">
                  <c:v>0.15702479338842976</c:v>
                </c:pt>
                <c:pt idx="4">
                  <c:v>0.21487603305785125</c:v>
                </c:pt>
                <c:pt idx="5">
                  <c:v>0.16528925619834711</c:v>
                </c:pt>
              </c:numCache>
            </c:numRef>
          </c:val>
          <c:extLst>
            <c:ext xmlns:c16="http://schemas.microsoft.com/office/drawing/2014/chart" uri="{C3380CC4-5D6E-409C-BE32-E72D297353CC}">
              <c16:uniqueId val="{00000000-0DFA-41D8-B95B-089F8E361AE6}"/>
            </c:ext>
          </c:extLst>
        </c:ser>
        <c:ser>
          <c:idx val="1"/>
          <c:order val="1"/>
          <c:tx>
            <c:strRef>
              <c:f>'Data Support'!$L$91:$L$92</c:f>
              <c:strCache>
                <c:ptCount val="1"/>
                <c:pt idx="0">
                  <c:v>Deluxe</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Support'!$L$93:$L$99</c:f>
              <c:numCache>
                <c:formatCode>0%</c:formatCode>
                <c:ptCount val="6"/>
                <c:pt idx="0">
                  <c:v>0.17599999999999999</c:v>
                </c:pt>
                <c:pt idx="1">
                  <c:v>0.14399999999999999</c:v>
                </c:pt>
                <c:pt idx="2">
                  <c:v>0.16800000000000001</c:v>
                </c:pt>
                <c:pt idx="3">
                  <c:v>0.20799999999999999</c:v>
                </c:pt>
                <c:pt idx="4">
                  <c:v>0.16</c:v>
                </c:pt>
                <c:pt idx="5">
                  <c:v>0.14399999999999999</c:v>
                </c:pt>
              </c:numCache>
            </c:numRef>
          </c:val>
          <c:extLst>
            <c:ext xmlns:c16="http://schemas.microsoft.com/office/drawing/2014/chart" uri="{C3380CC4-5D6E-409C-BE32-E72D297353CC}">
              <c16:uniqueId val="{00000001-0DFA-41D8-B95B-089F8E361AE6}"/>
            </c:ext>
          </c:extLst>
        </c:ser>
        <c:ser>
          <c:idx val="2"/>
          <c:order val="2"/>
          <c:tx>
            <c:strRef>
              <c:f>'Data Support'!$M$91:$M$92</c:f>
              <c:strCache>
                <c:ptCount val="1"/>
                <c:pt idx="0">
                  <c:v>Suite</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Support'!$M$93:$M$99</c:f>
              <c:numCache>
                <c:formatCode>0%</c:formatCode>
                <c:ptCount val="6"/>
                <c:pt idx="0">
                  <c:v>0.18699186991869918</c:v>
                </c:pt>
                <c:pt idx="1">
                  <c:v>0.15447154471544716</c:v>
                </c:pt>
                <c:pt idx="2">
                  <c:v>0.15447154471544716</c:v>
                </c:pt>
                <c:pt idx="3">
                  <c:v>0.14634146341463414</c:v>
                </c:pt>
                <c:pt idx="4">
                  <c:v>0.13008130081300814</c:v>
                </c:pt>
                <c:pt idx="5">
                  <c:v>0.22764227642276422</c:v>
                </c:pt>
              </c:numCache>
            </c:numRef>
          </c:val>
          <c:extLst>
            <c:ext xmlns:c16="http://schemas.microsoft.com/office/drawing/2014/chart" uri="{C3380CC4-5D6E-409C-BE32-E72D297353CC}">
              <c16:uniqueId val="{00000002-0DFA-41D8-B95B-089F8E361AE6}"/>
            </c:ext>
          </c:extLst>
        </c:ser>
        <c:ser>
          <c:idx val="3"/>
          <c:order val="3"/>
          <c:tx>
            <c:strRef>
              <c:f>'Data Support'!$N$91:$N$92</c:f>
              <c:strCache>
                <c:ptCount val="1"/>
                <c:pt idx="0">
                  <c:v>Presidential Suite</c:v>
                </c:pt>
              </c:strCache>
            </c:strRef>
          </c:tx>
          <c:spPr>
            <a:solidFill>
              <a:srgbClr val="C5B3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Support'!$N$93:$N$99</c:f>
              <c:numCache>
                <c:formatCode>0%</c:formatCode>
                <c:ptCount val="6"/>
                <c:pt idx="0">
                  <c:v>0.15267175572519084</c:v>
                </c:pt>
                <c:pt idx="1">
                  <c:v>0.18320610687022901</c:v>
                </c:pt>
                <c:pt idx="2">
                  <c:v>0.12213740458015267</c:v>
                </c:pt>
                <c:pt idx="3">
                  <c:v>0.16793893129770993</c:v>
                </c:pt>
                <c:pt idx="4">
                  <c:v>0.19847328244274809</c:v>
                </c:pt>
                <c:pt idx="5">
                  <c:v>0.17557251908396945</c:v>
                </c:pt>
              </c:numCache>
            </c:numRef>
          </c:val>
          <c:extLst>
            <c:ext xmlns:c16="http://schemas.microsoft.com/office/drawing/2014/chart" uri="{C3380CC4-5D6E-409C-BE32-E72D297353CC}">
              <c16:uniqueId val="{00000003-0DFA-41D8-B95B-089F8E361AE6}"/>
            </c:ext>
          </c:extLst>
        </c:ser>
        <c:dLbls>
          <c:dLblPos val="ctr"/>
          <c:showLegendKey val="0"/>
          <c:showVal val="1"/>
          <c:showCatName val="0"/>
          <c:showSerName val="0"/>
          <c:showPercent val="0"/>
          <c:showBubbleSize val="0"/>
        </c:dLbls>
        <c:gapWidth val="150"/>
        <c:overlap val="100"/>
        <c:axId val="680004815"/>
        <c:axId val="680007311"/>
      </c:barChart>
      <c:catAx>
        <c:axId val="680004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80007311"/>
        <c:crosses val="autoZero"/>
        <c:auto val="1"/>
        <c:lblAlgn val="ctr"/>
        <c:lblOffset val="100"/>
        <c:noMultiLvlLbl val="0"/>
      </c:catAx>
      <c:valAx>
        <c:axId val="6800073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8000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Support!PivotTable25</c:name>
    <c:fmtId val="6"/>
  </c:pivotSource>
  <c:chart>
    <c:title>
      <c:tx>
        <c:rich>
          <a:bodyPr rot="0" spcFirstLastPara="1" vertOverflow="ellipsis" vert="horz" wrap="square" anchor="ctr" anchorCtr="1"/>
          <a:lstStyle/>
          <a:p>
            <a:pPr>
              <a:defRPr sz="1200" b="1" i="0" u="none" strike="noStrike" kern="1200" spc="0" baseline="0">
                <a:solidFill>
                  <a:schemeClr val="bg1">
                    <a:lumMod val="50000"/>
                  </a:schemeClr>
                </a:solidFill>
                <a:latin typeface="Segoe UI" panose="020B0502040204020203" pitchFamily="34" charset="0"/>
                <a:ea typeface="+mn-ea"/>
                <a:cs typeface="Segoe UI" panose="020B0502040204020203" pitchFamily="34" charset="0"/>
              </a:defRPr>
            </a:pPr>
            <a:r>
              <a:rPr lang="en-US" sz="1200" b="1">
                <a:solidFill>
                  <a:schemeClr val="bg1">
                    <a:lumMod val="50000"/>
                  </a:schemeClr>
                </a:solidFill>
              </a:rPr>
              <a:t>Booking Channel Preference by Loyalty Tier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C5B3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rgbClr val="C5B3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Support'!$S$91:$S$92</c:f>
              <c:strCache>
                <c:ptCount val="1"/>
                <c:pt idx="0">
                  <c:v>Mobile App</c:v>
                </c:pt>
              </c:strCache>
            </c:strRef>
          </c:tx>
          <c:spPr>
            <a:solidFill>
              <a:srgbClr val="C5B3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Support'!$R$93:$R$99</c:f>
              <c:strCache>
                <c:ptCount val="6"/>
                <c:pt idx="0">
                  <c:v>Non-Member</c:v>
                </c:pt>
                <c:pt idx="1">
                  <c:v>Silver</c:v>
                </c:pt>
                <c:pt idx="2">
                  <c:v>Gold</c:v>
                </c:pt>
                <c:pt idx="3">
                  <c:v>Platinum</c:v>
                </c:pt>
                <c:pt idx="4">
                  <c:v>Titanium</c:v>
                </c:pt>
                <c:pt idx="5">
                  <c:v>Ambassador</c:v>
                </c:pt>
              </c:strCache>
            </c:strRef>
          </c:cat>
          <c:val>
            <c:numRef>
              <c:f>'Data Support'!$S$93:$S$99</c:f>
              <c:numCache>
                <c:formatCode>0%</c:formatCode>
                <c:ptCount val="6"/>
                <c:pt idx="0">
                  <c:v>0.16250000000000001</c:v>
                </c:pt>
                <c:pt idx="1">
                  <c:v>0.16875000000000001</c:v>
                </c:pt>
                <c:pt idx="2">
                  <c:v>0.16875000000000001</c:v>
                </c:pt>
                <c:pt idx="3">
                  <c:v>0.14374999999999999</c:v>
                </c:pt>
                <c:pt idx="4">
                  <c:v>0.17499999999999999</c:v>
                </c:pt>
                <c:pt idx="5">
                  <c:v>0.18124999999999999</c:v>
                </c:pt>
              </c:numCache>
            </c:numRef>
          </c:val>
          <c:extLst>
            <c:ext xmlns:c16="http://schemas.microsoft.com/office/drawing/2014/chart" uri="{C3380CC4-5D6E-409C-BE32-E72D297353CC}">
              <c16:uniqueId val="{00000003-E0BC-43E7-987A-1DEAD10A5563}"/>
            </c:ext>
          </c:extLst>
        </c:ser>
        <c:ser>
          <c:idx val="1"/>
          <c:order val="1"/>
          <c:tx>
            <c:strRef>
              <c:f>'Data Support'!$T$91:$T$92</c:f>
              <c:strCache>
                <c:ptCount val="1"/>
                <c:pt idx="0">
                  <c:v>Third-Party OTA</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Support'!$R$93:$R$99</c:f>
              <c:strCache>
                <c:ptCount val="6"/>
                <c:pt idx="0">
                  <c:v>Non-Member</c:v>
                </c:pt>
                <c:pt idx="1">
                  <c:v>Silver</c:v>
                </c:pt>
                <c:pt idx="2">
                  <c:v>Gold</c:v>
                </c:pt>
                <c:pt idx="3">
                  <c:v>Platinum</c:v>
                </c:pt>
                <c:pt idx="4">
                  <c:v>Titanium</c:v>
                </c:pt>
                <c:pt idx="5">
                  <c:v>Ambassador</c:v>
                </c:pt>
              </c:strCache>
            </c:strRef>
          </c:cat>
          <c:val>
            <c:numRef>
              <c:f>'Data Support'!$T$93:$T$99</c:f>
              <c:numCache>
                <c:formatCode>0%</c:formatCode>
                <c:ptCount val="6"/>
                <c:pt idx="0">
                  <c:v>0.20245398773006135</c:v>
                </c:pt>
                <c:pt idx="1">
                  <c:v>0.17791411042944785</c:v>
                </c:pt>
                <c:pt idx="2">
                  <c:v>0.10429447852760736</c:v>
                </c:pt>
                <c:pt idx="3">
                  <c:v>0.16564417177914109</c:v>
                </c:pt>
                <c:pt idx="4">
                  <c:v>0.17177914110429449</c:v>
                </c:pt>
                <c:pt idx="5">
                  <c:v>0.17791411042944785</c:v>
                </c:pt>
              </c:numCache>
            </c:numRef>
          </c:val>
          <c:extLst>
            <c:ext xmlns:c16="http://schemas.microsoft.com/office/drawing/2014/chart" uri="{C3380CC4-5D6E-409C-BE32-E72D297353CC}">
              <c16:uniqueId val="{00000004-E0BC-43E7-987A-1DEAD10A5563}"/>
            </c:ext>
          </c:extLst>
        </c:ser>
        <c:ser>
          <c:idx val="2"/>
          <c:order val="2"/>
          <c:tx>
            <c:strRef>
              <c:f>'Data Support'!$U$91:$U$92</c:f>
              <c:strCache>
                <c:ptCount val="1"/>
                <c:pt idx="0">
                  <c:v>Website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Support'!$R$93:$R$99</c:f>
              <c:strCache>
                <c:ptCount val="6"/>
                <c:pt idx="0">
                  <c:v>Non-Member</c:v>
                </c:pt>
                <c:pt idx="1">
                  <c:v>Silver</c:v>
                </c:pt>
                <c:pt idx="2">
                  <c:v>Gold</c:v>
                </c:pt>
                <c:pt idx="3">
                  <c:v>Platinum</c:v>
                </c:pt>
                <c:pt idx="4">
                  <c:v>Titanium</c:v>
                </c:pt>
                <c:pt idx="5">
                  <c:v>Ambassador</c:v>
                </c:pt>
              </c:strCache>
            </c:strRef>
          </c:cat>
          <c:val>
            <c:numRef>
              <c:f>'Data Support'!$U$93:$U$99</c:f>
              <c:numCache>
                <c:formatCode>0%</c:formatCode>
                <c:ptCount val="6"/>
                <c:pt idx="0">
                  <c:v>0.12994350282485875</c:v>
                </c:pt>
                <c:pt idx="1">
                  <c:v>0.12429378531073447</c:v>
                </c:pt>
                <c:pt idx="2">
                  <c:v>0.19209039548022599</c:v>
                </c:pt>
                <c:pt idx="3">
                  <c:v>0.19774011299435029</c:v>
                </c:pt>
                <c:pt idx="4">
                  <c:v>0.1807909604519774</c:v>
                </c:pt>
                <c:pt idx="5">
                  <c:v>0.1751412429378531</c:v>
                </c:pt>
              </c:numCache>
            </c:numRef>
          </c:val>
          <c:extLst>
            <c:ext xmlns:c16="http://schemas.microsoft.com/office/drawing/2014/chart" uri="{C3380CC4-5D6E-409C-BE32-E72D297353CC}">
              <c16:uniqueId val="{00000005-E0BC-43E7-987A-1DEAD10A5563}"/>
            </c:ext>
          </c:extLst>
        </c:ser>
        <c:dLbls>
          <c:dLblPos val="ctr"/>
          <c:showLegendKey val="0"/>
          <c:showVal val="1"/>
          <c:showCatName val="0"/>
          <c:showSerName val="0"/>
          <c:showPercent val="0"/>
          <c:showBubbleSize val="0"/>
        </c:dLbls>
        <c:gapWidth val="150"/>
        <c:overlap val="100"/>
        <c:axId val="57563167"/>
        <c:axId val="57558175"/>
      </c:barChart>
      <c:catAx>
        <c:axId val="5756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crossAx val="57558175"/>
        <c:crosses val="autoZero"/>
        <c:auto val="1"/>
        <c:lblAlgn val="ctr"/>
        <c:lblOffset val="100"/>
        <c:noMultiLvlLbl val="0"/>
      </c:catAx>
      <c:valAx>
        <c:axId val="575581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7563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Support!PivotTable26</c:name>
    <c:fmtId val="1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Cancellation Rate by Loyalty Tier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5B3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5B3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Support'!$Z$91:$Z$92</c:f>
              <c:strCache>
                <c:ptCount val="1"/>
                <c:pt idx="0">
                  <c:v>No</c:v>
                </c:pt>
              </c:strCache>
            </c:strRef>
          </c:tx>
          <c:spPr>
            <a:solidFill>
              <a:srgbClr val="C5B3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Support'!$Y$93:$Y$99</c:f>
              <c:strCache>
                <c:ptCount val="6"/>
                <c:pt idx="0">
                  <c:v>Gold</c:v>
                </c:pt>
                <c:pt idx="1">
                  <c:v>Silver</c:v>
                </c:pt>
                <c:pt idx="2">
                  <c:v>Titanium</c:v>
                </c:pt>
                <c:pt idx="3">
                  <c:v>Ambassador</c:v>
                </c:pt>
                <c:pt idx="4">
                  <c:v>Non-Member</c:v>
                </c:pt>
                <c:pt idx="5">
                  <c:v>Platinum</c:v>
                </c:pt>
              </c:strCache>
            </c:strRef>
          </c:cat>
          <c:val>
            <c:numRef>
              <c:f>'Data Support'!$Z$93:$Z$99</c:f>
              <c:numCache>
                <c:formatCode>0%</c:formatCode>
                <c:ptCount val="6"/>
                <c:pt idx="0">
                  <c:v>0.16091954022988506</c:v>
                </c:pt>
                <c:pt idx="1">
                  <c:v>0.17624521072796934</c:v>
                </c:pt>
                <c:pt idx="2">
                  <c:v>0.19540229885057472</c:v>
                </c:pt>
                <c:pt idx="3">
                  <c:v>0.17624521072796934</c:v>
                </c:pt>
                <c:pt idx="4">
                  <c:v>0.13026819923371646</c:v>
                </c:pt>
                <c:pt idx="5">
                  <c:v>0.16091954022988506</c:v>
                </c:pt>
              </c:numCache>
            </c:numRef>
          </c:val>
          <c:extLst>
            <c:ext xmlns:c16="http://schemas.microsoft.com/office/drawing/2014/chart" uri="{C3380CC4-5D6E-409C-BE32-E72D297353CC}">
              <c16:uniqueId val="{00000000-256C-4F46-89E4-8188BA4A7987}"/>
            </c:ext>
          </c:extLst>
        </c:ser>
        <c:ser>
          <c:idx val="1"/>
          <c:order val="1"/>
          <c:tx>
            <c:strRef>
              <c:f>'Data Support'!$AA$91:$AA$92</c:f>
              <c:strCache>
                <c:ptCount val="1"/>
                <c:pt idx="0">
                  <c:v>Yes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Support'!$Y$93:$Y$99</c:f>
              <c:strCache>
                <c:ptCount val="6"/>
                <c:pt idx="0">
                  <c:v>Gold</c:v>
                </c:pt>
                <c:pt idx="1">
                  <c:v>Silver</c:v>
                </c:pt>
                <c:pt idx="2">
                  <c:v>Titanium</c:v>
                </c:pt>
                <c:pt idx="3">
                  <c:v>Ambassador</c:v>
                </c:pt>
                <c:pt idx="4">
                  <c:v>Non-Member</c:v>
                </c:pt>
                <c:pt idx="5">
                  <c:v>Platinum</c:v>
                </c:pt>
              </c:strCache>
            </c:strRef>
          </c:cat>
          <c:val>
            <c:numRef>
              <c:f>'Data Support'!$AA$93:$AA$99</c:f>
              <c:numCache>
                <c:formatCode>0%</c:formatCode>
                <c:ptCount val="6"/>
                <c:pt idx="0">
                  <c:v>0.15062761506276151</c:v>
                </c:pt>
                <c:pt idx="1">
                  <c:v>0.13389121338912133</c:v>
                </c:pt>
                <c:pt idx="2">
                  <c:v>0.15481171548117154</c:v>
                </c:pt>
                <c:pt idx="3">
                  <c:v>0.1799163179916318</c:v>
                </c:pt>
                <c:pt idx="4">
                  <c:v>0.20083682008368201</c:v>
                </c:pt>
                <c:pt idx="5">
                  <c:v>0.1799163179916318</c:v>
                </c:pt>
              </c:numCache>
            </c:numRef>
          </c:val>
          <c:extLst>
            <c:ext xmlns:c16="http://schemas.microsoft.com/office/drawing/2014/chart" uri="{C3380CC4-5D6E-409C-BE32-E72D297353CC}">
              <c16:uniqueId val="{00000001-256C-4F46-89E4-8188BA4A7987}"/>
            </c:ext>
          </c:extLst>
        </c:ser>
        <c:dLbls>
          <c:dLblPos val="ctr"/>
          <c:showLegendKey val="0"/>
          <c:showVal val="1"/>
          <c:showCatName val="0"/>
          <c:showSerName val="0"/>
          <c:showPercent val="0"/>
          <c:showBubbleSize val="0"/>
        </c:dLbls>
        <c:gapWidth val="219"/>
        <c:overlap val="100"/>
        <c:axId val="1426806447"/>
        <c:axId val="1426811023"/>
      </c:barChart>
      <c:catAx>
        <c:axId val="142680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crossAx val="1426811023"/>
        <c:crosses val="autoZero"/>
        <c:auto val="1"/>
        <c:lblAlgn val="ctr"/>
        <c:lblOffset val="100"/>
        <c:noMultiLvlLbl val="0"/>
      </c:catAx>
      <c:valAx>
        <c:axId val="14268110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crossAx val="142680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_xlchart.1</cx:f>
      </cx:numDim>
    </cx:data>
    <cx:data id="1">
      <cx:strDim type="cat">
        <cx:f>_xlchart.0</cx:f>
      </cx:strDim>
      <cx:numDim type="val">
        <cx:f>_xlchart.2</cx:f>
      </cx:numDim>
    </cx:data>
  </cx:chartData>
  <cx:chart>
    <cx:title pos="t" align="ctr" overlay="0">
      <cx:tx>
        <cx:rich>
          <a:bodyPr spcFirstLastPara="1" vertOverflow="ellipsis" wrap="square" lIns="0" tIns="0" rIns="0" bIns="0" anchor="ctr" anchorCtr="1"/>
          <a:lstStyle/>
          <a:p>
            <a:pPr algn="ctr">
              <a:defRPr lang="en-US" sz="1200" b="1" i="0" u="none" strike="noStrike" kern="1200" spc="0" baseline="0">
                <a:solidFill>
                  <a:sysClr val="windowText" lastClr="000000">
                    <a:lumMod val="65000"/>
                    <a:lumOff val="35000"/>
                  </a:sysClr>
                </a:solidFill>
                <a:latin typeface="Segoe UI" panose="020B0502040204020203" pitchFamily="34" charset="0"/>
                <a:ea typeface="Segoe UI" panose="020B0502040204020203" pitchFamily="34" charset="0"/>
                <a:cs typeface="Segoe UI" panose="020B0502040204020203" pitchFamily="34" charset="0"/>
              </a:defRPr>
            </a:pPr>
            <a:r>
              <a:rPr lang="en-US" sz="1200" b="1">
                <a:latin typeface="Segoe UI" panose="020B0502040204020203" pitchFamily="34" charset="0"/>
                <a:cs typeface="Segoe UI" panose="020B0502040204020203" pitchFamily="34" charset="0"/>
              </a:rPr>
              <a:t>Pareto Analysis: Booking Revenue by Member Loyalty </a:t>
            </a:r>
            <a:endParaRPr lang="vi-VN" sz="1200" b="1">
              <a:latin typeface="Segoe UI" panose="020B0502040204020203" pitchFamily="34" charset="0"/>
              <a:cs typeface="Segoe UI" panose="020B0502040204020203" pitchFamily="34" charset="0"/>
            </a:endParaRPr>
          </a:p>
          <a:p>
            <a:pPr algn="ctr">
              <a:defRPr lang="en-US" sz="1200" b="1" i="0" u="none" strike="noStrike" kern="1200" spc="0" baseline="0">
                <a:solidFill>
                  <a:sysClr val="windowText" lastClr="000000">
                    <a:lumMod val="65000"/>
                    <a:lumOff val="35000"/>
                  </a:sysClr>
                </a:solidFill>
                <a:latin typeface="Segoe UI" panose="020B0502040204020203" pitchFamily="34" charset="0"/>
                <a:ea typeface="Segoe UI" panose="020B0502040204020203" pitchFamily="34" charset="0"/>
                <a:cs typeface="Segoe UI" panose="020B0502040204020203" pitchFamily="34" charset="0"/>
              </a:defRPr>
            </a:pPr>
            <a:r>
              <a:rPr lang="en-US" sz="1200" b="1">
                <a:latin typeface="Segoe UI" panose="020B0502040204020203" pitchFamily="34" charset="0"/>
                <a:cs typeface="Segoe UI" panose="020B0502040204020203" pitchFamily="34" charset="0"/>
              </a:rPr>
              <a:t>(Excl. Cancellations)</a:t>
            </a:r>
            <a:endParaRPr lang="en-US" sz="1000" b="1">
              <a:latin typeface="Segoe UI" panose="020B0502040204020203" pitchFamily="34" charset="0"/>
              <a:cs typeface="Segoe UI" panose="020B0502040204020203" pitchFamily="34" charset="0"/>
            </a:endParaRPr>
          </a:p>
        </cx:rich>
      </cx:tx>
    </cx:title>
    <cx:plotArea>
      <cx:plotAreaRegion>
        <cx:series layoutId="clusteredColumn" uniqueId="{54F2FEB5-64F5-4E92-9020-E5AFAB0C7A33}" formatIdx="0">
          <cx:spPr>
            <a:solidFill>
              <a:srgbClr val="C5B358"/>
            </a:solidFill>
          </cx:spPr>
          <cx:dataLabels>
            <cx:txPr>
              <a:bodyPr spcFirstLastPara="1" vertOverflow="ellipsis" wrap="square" lIns="0" tIns="0" rIns="0" bIns="0" anchor="ctr" anchorCtr="1"/>
              <a:lstStyle/>
              <a:p>
                <a:pPr>
                  <a:defRPr lang="en-US" sz="1000" b="0" i="0" u="none" strike="noStrike" baseline="0">
                    <a:solidFill>
                      <a:sysClr val="windowText" lastClr="000000">
                        <a:lumMod val="65000"/>
                        <a:lumOff val="35000"/>
                      </a:sysClr>
                    </a:solidFill>
                    <a:latin typeface="Segoe UI" panose="020B0502040204020203" pitchFamily="34" charset="0"/>
                    <a:ea typeface="Segoe UI" panose="020B0502040204020203" pitchFamily="34" charset="0"/>
                    <a:cs typeface="Segoe UI" panose="020B0502040204020203" pitchFamily="34" charset="0"/>
                  </a:defRPr>
                </a:pPr>
                <a:endParaRPr lang="en-US" sz="1000">
                  <a:latin typeface="Segoe UI" panose="020B0502040204020203" pitchFamily="34" charset="0"/>
                  <a:cs typeface="Segoe UI" panose="020B0502040204020203" pitchFamily="34" charset="0"/>
                </a:endParaRPr>
              </a:p>
            </cx:txPr>
            <cx:visibility seriesName="0" categoryName="0" value="1"/>
          </cx:dataLabels>
          <cx:dataId val="0"/>
          <cx:layoutPr>
            <cx:aggregation/>
          </cx:layoutPr>
          <cx:axisId val="1"/>
        </cx:series>
        <cx:series layoutId="clusteredColumn" hidden="1" uniqueId="{0A2F313D-E5FF-44AE-84A9-9DAB3240E212}" formatIdx="2">
          <cx:dataLabels>
            <cx:visibility seriesName="0" categoryName="0" value="1"/>
          </cx:dataLabels>
          <cx:dataId val="1"/>
          <cx:layoutPr>
            <cx:aggregation/>
          </cx:layoutPr>
          <cx:axisId val="1"/>
        </cx:series>
        <cx:series layoutId="paretoLine" ownerIdx="0" uniqueId="{C70AB88D-D310-4866-88DD-0E42287D11AC}" formatIdx="1">
          <cx:spPr>
            <a:ln>
              <a:solidFill>
                <a:schemeClr val="tx1"/>
              </a:solidFill>
            </a:ln>
          </cx:spPr>
          <cx:axisId val="2"/>
        </cx:series>
        <cx:series layoutId="paretoLine" ownerIdx="1" uniqueId="{597ECC79-706A-4004-8D2E-FDAAC12044DD}" formatIdx="3">
          <cx:axisId val="2"/>
        </cx:series>
      </cx:plotAreaRegion>
      <cx:axis id="0">
        <cx:catScaling gapWidth="0"/>
        <cx:tickLabels/>
        <cx:txPr>
          <a:bodyPr spcFirstLastPara="1" vertOverflow="ellipsis" wrap="square" lIns="0" tIns="0" rIns="0" bIns="0" anchor="ctr" anchorCtr="1"/>
          <a:lstStyle/>
          <a:p>
            <a:pPr>
              <a:defRPr lang="en-US" sz="1000" b="0" i="0" u="none" strike="noStrike" kern="1200" baseline="0">
                <a:solidFill>
                  <a:sysClr val="windowText" lastClr="000000">
                    <a:lumMod val="65000"/>
                    <a:lumOff val="35000"/>
                  </a:sysClr>
                </a:solidFill>
                <a:latin typeface="Segoe UI" panose="020B0502040204020203" pitchFamily="34" charset="0"/>
                <a:ea typeface="Segoe UI" panose="020B0502040204020203" pitchFamily="34" charset="0"/>
                <a:cs typeface="Segoe UI" panose="020B0502040204020203" pitchFamily="34" charset="0"/>
              </a:defRPr>
            </a:pPr>
            <a:endParaRPr lang="en-US" sz="1000">
              <a:latin typeface="Segoe UI" panose="020B0502040204020203" pitchFamily="34" charset="0"/>
              <a:cs typeface="Segoe UI" panose="020B0502040204020203" pitchFamily="34" charset="0"/>
            </a:endParaRPr>
          </a:p>
        </cx:txPr>
      </cx:axis>
      <cx:axis id="1">
        <cx:valScaling/>
        <cx:tickLabels/>
        <cx:txPr>
          <a:bodyPr spcFirstLastPara="1" vertOverflow="ellipsis" wrap="square" lIns="0" tIns="0" rIns="0" bIns="0" anchor="ctr" anchorCtr="1"/>
          <a:lstStyle/>
          <a:p>
            <a:pPr>
              <a:defRPr sz="1000">
                <a:latin typeface="Segoe UI" panose="020B0502040204020203" pitchFamily="34" charset="0"/>
                <a:ea typeface="Segoe UI" panose="020B0502040204020203" pitchFamily="34" charset="0"/>
                <a:cs typeface="Segoe UI" panose="020B0502040204020203" pitchFamily="34" charset="0"/>
              </a:defRPr>
            </a:pPr>
            <a:endParaRPr lang="en-US" sz="1000">
              <a:latin typeface="Segoe UI" panose="020B0502040204020203" pitchFamily="34" charset="0"/>
              <a:cs typeface="Segoe UI" panose="020B0502040204020203" pitchFamily="34" charset="0"/>
            </a:endParaRPr>
          </a:p>
        </cx:txPr>
      </cx:axis>
      <cx:axis id="2">
        <cx:valScaling max="1" min="0"/>
        <cx:units unit="percentage"/>
        <cx:tickLabels/>
        <cx:txPr>
          <a:bodyPr spcFirstLastPara="1" vertOverflow="ellipsis" wrap="square" lIns="0" tIns="0" rIns="0" bIns="0" anchor="ctr" anchorCtr="1"/>
          <a:lstStyle/>
          <a:p>
            <a:pPr>
              <a:defRPr lang="en-US" sz="1000" b="0" i="0" u="none" strike="noStrike" kern="1200" baseline="0">
                <a:solidFill>
                  <a:sysClr val="windowText" lastClr="000000">
                    <a:lumMod val="65000"/>
                    <a:lumOff val="35000"/>
                  </a:sysClr>
                </a:solidFill>
                <a:latin typeface="Segoe UI" panose="020B0502040204020203" pitchFamily="34" charset="0"/>
                <a:ea typeface="Segoe UI" panose="020B0502040204020203" pitchFamily="34" charset="0"/>
                <a:cs typeface="Segoe UI" panose="020B0502040204020203" pitchFamily="34" charset="0"/>
              </a:defRPr>
            </a:pPr>
            <a:endParaRPr lang="en-US" sz="1000">
              <a:latin typeface="Segoe UI" panose="020B0502040204020203" pitchFamily="34" charset="0"/>
              <a:cs typeface="Segoe UI" panose="020B0502040204020203" pitchFamily="34" charset="0"/>
            </a:endParaRPr>
          </a:p>
        </cx:txPr>
      </cx:axis>
    </cx:plotArea>
  </cx:chart>
  <cx:spPr>
    <a:noFill/>
    <a:ln>
      <a:noFill/>
    </a:ln>
  </cx:spPr>
  <cx:clrMapOvr bg1="lt1" tx1="dk1" bg2="lt2" tx2="dk2" accent1="accent1" accent2="accent2" accent3="accent3" accent4="accent4" accent5="accent5" accent6="accent6" hlink="hlink" folHlink="folHlink"/>
</cx: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Support!Booking_data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800"/>
              <a:t>Booking Channel Contribution</a:t>
            </a:r>
            <a:endParaRPr lang="en-US" sz="8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'Data Support'!$C$10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3F-4543-84DF-E203A6C215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A3-4173-9F5D-CCB002F285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A3-4173-9F5D-CCB002F285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Support'!$B$11:$B$14</c:f>
              <c:strCache>
                <c:ptCount val="3"/>
                <c:pt idx="0">
                  <c:v>Mobile App</c:v>
                </c:pt>
                <c:pt idx="1">
                  <c:v>Third-Party OTA</c:v>
                </c:pt>
                <c:pt idx="2">
                  <c:v>Website</c:v>
                </c:pt>
              </c:strCache>
            </c:strRef>
          </c:cat>
          <c:val>
            <c:numRef>
              <c:f>'Data Support'!$C$11:$C$14</c:f>
              <c:numCache>
                <c:formatCode>0%</c:formatCode>
                <c:ptCount val="3"/>
                <c:pt idx="0">
                  <c:v>0.32</c:v>
                </c:pt>
                <c:pt idx="1">
                  <c:v>0.32600000000000001</c:v>
                </c:pt>
                <c:pt idx="2">
                  <c:v>0.35399999999999998</c:v>
                </c:pt>
              </c:numCache>
            </c:numRef>
          </c:val>
          <c:extLst>
            <c:ext xmlns:c16="http://schemas.microsoft.com/office/drawing/2014/chart" uri="{C3380CC4-5D6E-409C-BE32-E72D297353CC}">
              <c16:uniqueId val="{00000000-B53F-4543-84DF-E203A6C215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0686826506237279"/>
          <c:y val="0.45508974323698548"/>
          <c:w val="0.36616544280279578"/>
          <c:h val="0.35409164646451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Support!PivotTable10</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vi-VN" sz="1000"/>
              <a:t>Week-over-Week Booking Flow by Channel</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0"/>
        <c:ser>
          <c:idx val="0"/>
          <c:order val="0"/>
          <c:tx>
            <c:strRef>
              <c:f>'Data Support'!$G$10:$G$11</c:f>
              <c:strCache>
                <c:ptCount val="1"/>
                <c:pt idx="0">
                  <c:v>Mobile App</c:v>
                </c:pt>
              </c:strCache>
            </c:strRef>
          </c:tx>
          <c:spPr>
            <a:ln w="28575" cap="rnd">
              <a:solidFill>
                <a:schemeClr val="accent1"/>
              </a:solidFill>
              <a:round/>
            </a:ln>
            <a:effectLst/>
          </c:spPr>
          <c:marker>
            <c:symbol val="none"/>
          </c:marker>
          <c:cat>
            <c:multiLvlStrRef>
              <c:f>'Data Support'!$F$12:$F$31</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Support'!$G$12:$G$31</c:f>
              <c:numCache>
                <c:formatCode>0.0%</c:formatCode>
                <c:ptCount val="16"/>
                <c:pt idx="0">
                  <c:v>2.5999999999999999E-2</c:v>
                </c:pt>
                <c:pt idx="1">
                  <c:v>1.6E-2</c:v>
                </c:pt>
                <c:pt idx="2">
                  <c:v>1.4E-2</c:v>
                </c:pt>
                <c:pt idx="3">
                  <c:v>2.1999999999999999E-2</c:v>
                </c:pt>
                <c:pt idx="4">
                  <c:v>1.6E-2</c:v>
                </c:pt>
                <c:pt idx="5">
                  <c:v>0.01</c:v>
                </c:pt>
                <c:pt idx="6">
                  <c:v>0.02</c:v>
                </c:pt>
                <c:pt idx="7">
                  <c:v>2.5999999999999999E-2</c:v>
                </c:pt>
                <c:pt idx="8">
                  <c:v>1.7999999999999999E-2</c:v>
                </c:pt>
                <c:pt idx="9">
                  <c:v>2.1999999999999999E-2</c:v>
                </c:pt>
                <c:pt idx="10">
                  <c:v>1.2E-2</c:v>
                </c:pt>
                <c:pt idx="11">
                  <c:v>3.2000000000000001E-2</c:v>
                </c:pt>
                <c:pt idx="12">
                  <c:v>2.8000000000000001E-2</c:v>
                </c:pt>
                <c:pt idx="13">
                  <c:v>1.7999999999999999E-2</c:v>
                </c:pt>
                <c:pt idx="14">
                  <c:v>3.7999999999999999E-2</c:v>
                </c:pt>
                <c:pt idx="15">
                  <c:v>2E-3</c:v>
                </c:pt>
              </c:numCache>
            </c:numRef>
          </c:val>
          <c:smooth val="0"/>
          <c:extLst>
            <c:ext xmlns:c16="http://schemas.microsoft.com/office/drawing/2014/chart" uri="{C3380CC4-5D6E-409C-BE32-E72D297353CC}">
              <c16:uniqueId val="{00000000-B61A-4950-83C4-87A4B640DD58}"/>
            </c:ext>
          </c:extLst>
        </c:ser>
        <c:ser>
          <c:idx val="1"/>
          <c:order val="1"/>
          <c:tx>
            <c:strRef>
              <c:f>'Data Support'!$H$10:$H$11</c:f>
              <c:strCache>
                <c:ptCount val="1"/>
                <c:pt idx="0">
                  <c:v>Third-Party OTA</c:v>
                </c:pt>
              </c:strCache>
            </c:strRef>
          </c:tx>
          <c:spPr>
            <a:ln w="28575" cap="rnd">
              <a:solidFill>
                <a:schemeClr val="accent2"/>
              </a:solidFill>
              <a:round/>
            </a:ln>
            <a:effectLst/>
          </c:spPr>
          <c:marker>
            <c:symbol val="none"/>
          </c:marker>
          <c:cat>
            <c:multiLvlStrRef>
              <c:f>'Data Support'!$F$12:$F$31</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Support'!$H$12:$H$31</c:f>
              <c:numCache>
                <c:formatCode>0.0%</c:formatCode>
                <c:ptCount val="16"/>
                <c:pt idx="0">
                  <c:v>1.6E-2</c:v>
                </c:pt>
                <c:pt idx="1">
                  <c:v>2.1999999999999999E-2</c:v>
                </c:pt>
                <c:pt idx="2">
                  <c:v>1.6E-2</c:v>
                </c:pt>
                <c:pt idx="3">
                  <c:v>0.03</c:v>
                </c:pt>
                <c:pt idx="4">
                  <c:v>1.4E-2</c:v>
                </c:pt>
                <c:pt idx="5">
                  <c:v>1.4E-2</c:v>
                </c:pt>
                <c:pt idx="6">
                  <c:v>2.5999999999999999E-2</c:v>
                </c:pt>
                <c:pt idx="7">
                  <c:v>2.8000000000000001E-2</c:v>
                </c:pt>
                <c:pt idx="8">
                  <c:v>1.6E-2</c:v>
                </c:pt>
                <c:pt idx="9">
                  <c:v>2.1999999999999999E-2</c:v>
                </c:pt>
                <c:pt idx="10">
                  <c:v>6.0000000000000001E-3</c:v>
                </c:pt>
                <c:pt idx="11">
                  <c:v>3.5999999999999997E-2</c:v>
                </c:pt>
                <c:pt idx="12">
                  <c:v>2.1999999999999999E-2</c:v>
                </c:pt>
                <c:pt idx="13">
                  <c:v>3.2000000000000001E-2</c:v>
                </c:pt>
                <c:pt idx="14">
                  <c:v>1.7999999999999999E-2</c:v>
                </c:pt>
                <c:pt idx="15">
                  <c:v>8.0000000000000002E-3</c:v>
                </c:pt>
              </c:numCache>
            </c:numRef>
          </c:val>
          <c:smooth val="0"/>
          <c:extLst>
            <c:ext xmlns:c16="http://schemas.microsoft.com/office/drawing/2014/chart" uri="{C3380CC4-5D6E-409C-BE32-E72D297353CC}">
              <c16:uniqueId val="{00000000-7817-4A78-A849-88C2903A1965}"/>
            </c:ext>
          </c:extLst>
        </c:ser>
        <c:ser>
          <c:idx val="2"/>
          <c:order val="2"/>
          <c:tx>
            <c:strRef>
              <c:f>'Data Support'!$I$10:$I$11</c:f>
              <c:strCache>
                <c:ptCount val="1"/>
                <c:pt idx="0">
                  <c:v>Website</c:v>
                </c:pt>
              </c:strCache>
            </c:strRef>
          </c:tx>
          <c:spPr>
            <a:ln w="28575" cap="rnd">
              <a:solidFill>
                <a:schemeClr val="accent3"/>
              </a:solidFill>
              <a:round/>
            </a:ln>
            <a:effectLst/>
          </c:spPr>
          <c:marker>
            <c:symbol val="none"/>
          </c:marker>
          <c:cat>
            <c:multiLvlStrRef>
              <c:f>'Data Support'!$F$12:$F$31</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Support'!$I$12:$I$31</c:f>
              <c:numCache>
                <c:formatCode>0.0%</c:formatCode>
                <c:ptCount val="16"/>
                <c:pt idx="0">
                  <c:v>1.2E-2</c:v>
                </c:pt>
                <c:pt idx="1">
                  <c:v>1.6E-2</c:v>
                </c:pt>
                <c:pt idx="2">
                  <c:v>0.03</c:v>
                </c:pt>
                <c:pt idx="3">
                  <c:v>0.02</c:v>
                </c:pt>
                <c:pt idx="4">
                  <c:v>2.1999999999999999E-2</c:v>
                </c:pt>
                <c:pt idx="5">
                  <c:v>1.6E-2</c:v>
                </c:pt>
                <c:pt idx="6">
                  <c:v>2.5999999999999999E-2</c:v>
                </c:pt>
                <c:pt idx="7">
                  <c:v>2.5999999999999999E-2</c:v>
                </c:pt>
                <c:pt idx="8">
                  <c:v>3.2000000000000001E-2</c:v>
                </c:pt>
                <c:pt idx="9">
                  <c:v>0.02</c:v>
                </c:pt>
                <c:pt idx="10">
                  <c:v>1.4E-2</c:v>
                </c:pt>
                <c:pt idx="11">
                  <c:v>3.5999999999999997E-2</c:v>
                </c:pt>
                <c:pt idx="12">
                  <c:v>2.4E-2</c:v>
                </c:pt>
                <c:pt idx="13">
                  <c:v>3.4000000000000002E-2</c:v>
                </c:pt>
                <c:pt idx="14">
                  <c:v>0.02</c:v>
                </c:pt>
                <c:pt idx="15">
                  <c:v>6.0000000000000001E-3</c:v>
                </c:pt>
              </c:numCache>
            </c:numRef>
          </c:val>
          <c:smooth val="0"/>
          <c:extLst>
            <c:ext xmlns:c16="http://schemas.microsoft.com/office/drawing/2014/chart" uri="{C3380CC4-5D6E-409C-BE32-E72D297353CC}">
              <c16:uniqueId val="{00000001-7817-4A78-A849-88C2903A1965}"/>
            </c:ext>
          </c:extLst>
        </c:ser>
        <c:dLbls>
          <c:dLblPos val="ctr"/>
          <c:showLegendKey val="0"/>
          <c:showVal val="0"/>
          <c:showCatName val="0"/>
          <c:showSerName val="0"/>
          <c:showPercent val="0"/>
          <c:showBubbleSize val="0"/>
        </c:dLbls>
        <c:smooth val="0"/>
        <c:axId val="57583135"/>
        <c:axId val="57586047"/>
      </c:lineChart>
      <c:catAx>
        <c:axId val="575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6047"/>
        <c:crosses val="autoZero"/>
        <c:auto val="1"/>
        <c:lblAlgn val="ctr"/>
        <c:lblOffset val="100"/>
        <c:noMultiLvlLbl val="0"/>
      </c:catAx>
      <c:valAx>
        <c:axId val="575860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1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OTB Revenue</a:t>
            </a:r>
            <a:r>
              <a:rPr lang="vi-VN" sz="1000" b="1" i="0" u="none" strike="noStrike" baseline="0">
                <a:effectLst/>
              </a:rPr>
              <a:t> Contribution by Channel</a:t>
            </a:r>
            <a:r>
              <a:rPr lang="en-US" sz="1000" b="1" i="0" u="none" strike="noStrike" baseline="0">
                <a:effectLst/>
              </a:rPr>
              <a:t> </a:t>
            </a:r>
            <a:endParaRPr lang="en-US" sz="10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'Data Support'!$M$10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6-4C9E-A817-49990B6BCE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6-4C9E-A817-49990B6BCE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6-4C9E-A817-49990B6BCEFE}"/>
              </c:ext>
            </c:extLst>
          </c:dPt>
          <c:dLbls>
            <c:delete val="1"/>
          </c:dLbls>
          <c:cat>
            <c:strRef>
              <c:f>'Data Support'!$L$11:$L$14</c:f>
              <c:strCache>
                <c:ptCount val="3"/>
                <c:pt idx="0">
                  <c:v>Mobile App</c:v>
                </c:pt>
                <c:pt idx="1">
                  <c:v>Third-Party OTA</c:v>
                </c:pt>
                <c:pt idx="2">
                  <c:v>Website</c:v>
                </c:pt>
              </c:strCache>
            </c:strRef>
          </c:cat>
          <c:val>
            <c:numRef>
              <c:f>'Data Support'!$M$11:$M$14</c:f>
              <c:numCache>
                <c:formatCode>0%</c:formatCode>
                <c:ptCount val="3"/>
                <c:pt idx="0">
                  <c:v>0.32359446606188874</c:v>
                </c:pt>
                <c:pt idx="1">
                  <c:v>0.33235996355020275</c:v>
                </c:pt>
                <c:pt idx="2">
                  <c:v>0.34404557038790851</c:v>
                </c:pt>
              </c:numCache>
            </c:numRef>
          </c:val>
          <c:extLst>
            <c:ext xmlns:c16="http://schemas.microsoft.com/office/drawing/2014/chart" uri="{C3380CC4-5D6E-409C-BE32-E72D297353CC}">
              <c16:uniqueId val="{00000000-23F9-4E01-96C5-7C998AA541A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Support!PivotTable3</c:name>
    <c:fmtId val="4"/>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Cancellation Rate by Booking Channel</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'Data Support'!$Z$10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C7-4BA7-89B6-F40137FCF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C7-4BA7-89B6-F40137FCFF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C7-4BA7-89B6-F40137FCFF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Support'!$Y$11:$Y$14</c:f>
              <c:strCache>
                <c:ptCount val="3"/>
                <c:pt idx="0">
                  <c:v>Mobile App</c:v>
                </c:pt>
                <c:pt idx="1">
                  <c:v>Third-Party OTA</c:v>
                </c:pt>
                <c:pt idx="2">
                  <c:v>Website</c:v>
                </c:pt>
              </c:strCache>
            </c:strRef>
          </c:cat>
          <c:val>
            <c:numRef>
              <c:f>'Data Support'!$Z$11:$Z$14</c:f>
              <c:numCache>
                <c:formatCode>0%</c:formatCode>
                <c:ptCount val="3"/>
                <c:pt idx="0">
                  <c:v>0.29707112970711297</c:v>
                </c:pt>
                <c:pt idx="1">
                  <c:v>0.33891213389121339</c:v>
                </c:pt>
                <c:pt idx="2">
                  <c:v>0.36401673640167365</c:v>
                </c:pt>
              </c:numCache>
            </c:numRef>
          </c:val>
          <c:extLst>
            <c:ext xmlns:c16="http://schemas.microsoft.com/office/drawing/2014/chart" uri="{C3380CC4-5D6E-409C-BE32-E72D297353CC}">
              <c16:uniqueId val="{00000000-1DCC-4964-BE0B-E27F14FA6C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Support!PivotTable11</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a:effectLst/>
              </a:rPr>
              <a:t>Discounted Bookings (%) by</a:t>
            </a:r>
            <a:r>
              <a:rPr lang="vi-VN" sz="1000" b="1" i="0" baseline="0">
                <a:effectLst/>
              </a:rPr>
              <a:t> Channel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'Data Support'!$C$46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39-4678-921A-2CA5BD1AD0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39-4678-921A-2CA5BD1AD0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39-4678-921A-2CA5BD1AD0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Support'!$B$47:$B$50</c:f>
              <c:strCache>
                <c:ptCount val="3"/>
                <c:pt idx="0">
                  <c:v>Mobile App</c:v>
                </c:pt>
                <c:pt idx="1">
                  <c:v>Third-Party OTA</c:v>
                </c:pt>
                <c:pt idx="2">
                  <c:v>Website</c:v>
                </c:pt>
              </c:strCache>
            </c:strRef>
          </c:cat>
          <c:val>
            <c:numRef>
              <c:f>'Data Support'!$C$47:$C$50</c:f>
              <c:numCache>
                <c:formatCode>General</c:formatCode>
                <c:ptCount val="3"/>
                <c:pt idx="0">
                  <c:v>135</c:v>
                </c:pt>
                <c:pt idx="1">
                  <c:v>143</c:v>
                </c:pt>
                <c:pt idx="2">
                  <c:v>152</c:v>
                </c:pt>
              </c:numCache>
            </c:numRef>
          </c:val>
          <c:extLst>
            <c:ext xmlns:c16="http://schemas.microsoft.com/office/drawing/2014/chart" uri="{C3380CC4-5D6E-409C-BE32-E72D297353CC}">
              <c16:uniqueId val="{00000000-8C0A-42D4-9461-0A6C61297E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Support!PivotTable14</c:name>
    <c:fmtId val="4"/>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Applied Promotion Volume by Channel</a:t>
            </a:r>
            <a:endParaRPr lang="en-US"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 Support'!$G$46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Support'!$F$47:$F$50</c:f>
              <c:strCache>
                <c:ptCount val="3"/>
                <c:pt idx="0">
                  <c:v>Mobile App</c:v>
                </c:pt>
                <c:pt idx="1">
                  <c:v>Third-Party OTA</c:v>
                </c:pt>
                <c:pt idx="2">
                  <c:v>Website</c:v>
                </c:pt>
              </c:strCache>
            </c:strRef>
          </c:cat>
          <c:val>
            <c:numRef>
              <c:f>'Data Support'!$G$47:$G$50</c:f>
              <c:numCache>
                <c:formatCode>General</c:formatCode>
                <c:ptCount val="3"/>
                <c:pt idx="0">
                  <c:v>1975</c:v>
                </c:pt>
                <c:pt idx="1">
                  <c:v>2170</c:v>
                </c:pt>
                <c:pt idx="2">
                  <c:v>2320</c:v>
                </c:pt>
              </c:numCache>
            </c:numRef>
          </c:val>
          <c:extLst>
            <c:ext xmlns:c16="http://schemas.microsoft.com/office/drawing/2014/chart" uri="{C3380CC4-5D6E-409C-BE32-E72D297353CC}">
              <c16:uniqueId val="{00000000-9C21-4B3F-8F2F-17AD5B199512}"/>
            </c:ext>
          </c:extLst>
        </c:ser>
        <c:dLbls>
          <c:dLblPos val="outEnd"/>
          <c:showLegendKey val="0"/>
          <c:showVal val="1"/>
          <c:showCatName val="0"/>
          <c:showSerName val="0"/>
          <c:showPercent val="0"/>
          <c:showBubbleSize val="0"/>
        </c:dLbls>
        <c:gapWidth val="219"/>
        <c:overlap val="-27"/>
        <c:axId val="606523663"/>
        <c:axId val="606514927"/>
      </c:barChart>
      <c:catAx>
        <c:axId val="60652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14927"/>
        <c:crosses val="autoZero"/>
        <c:auto val="1"/>
        <c:lblAlgn val="ctr"/>
        <c:lblOffset val="100"/>
        <c:noMultiLvlLbl val="0"/>
      </c:catAx>
      <c:valAx>
        <c:axId val="606514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23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Support!PivotTable15</c:name>
    <c:fmtId val="0"/>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Promotion Adoption Trend Over Time</a:t>
            </a:r>
            <a:endParaRPr lang="en-US"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Support'!$K$46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'Data Support'!$J$47:$J$66</c:f>
              <c:multiLvlStrCache>
                <c:ptCount val="16"/>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6</c:v>
                  </c:pt>
                </c:lvl>
                <c:lvl>
                  <c:pt idx="0">
                    <c:v>Jan</c:v>
                  </c:pt>
                  <c:pt idx="5">
                    <c:v>Feb</c:v>
                  </c:pt>
                  <c:pt idx="10">
                    <c:v>Mar</c:v>
                  </c:pt>
                </c:lvl>
              </c:multiLvlStrCache>
            </c:multiLvlStrRef>
          </c:cat>
          <c:val>
            <c:numRef>
              <c:f>'Data Support'!$K$47:$K$66</c:f>
              <c:numCache>
                <c:formatCode>General</c:formatCode>
                <c:ptCount val="16"/>
                <c:pt idx="0">
                  <c:v>295</c:v>
                </c:pt>
                <c:pt idx="1">
                  <c:v>335</c:v>
                </c:pt>
                <c:pt idx="2">
                  <c:v>445</c:v>
                </c:pt>
                <c:pt idx="3">
                  <c:v>500</c:v>
                </c:pt>
                <c:pt idx="4">
                  <c:v>300</c:v>
                </c:pt>
                <c:pt idx="5">
                  <c:v>335</c:v>
                </c:pt>
                <c:pt idx="6">
                  <c:v>380</c:v>
                </c:pt>
                <c:pt idx="7">
                  <c:v>480</c:v>
                </c:pt>
                <c:pt idx="8">
                  <c:v>490</c:v>
                </c:pt>
                <c:pt idx="9">
                  <c:v>435</c:v>
                </c:pt>
                <c:pt idx="10">
                  <c:v>205</c:v>
                </c:pt>
                <c:pt idx="11">
                  <c:v>630</c:v>
                </c:pt>
                <c:pt idx="12">
                  <c:v>550</c:v>
                </c:pt>
                <c:pt idx="13">
                  <c:v>520</c:v>
                </c:pt>
                <c:pt idx="14">
                  <c:v>480</c:v>
                </c:pt>
                <c:pt idx="15">
                  <c:v>85</c:v>
                </c:pt>
              </c:numCache>
            </c:numRef>
          </c:val>
          <c:smooth val="0"/>
          <c:extLst>
            <c:ext xmlns:c16="http://schemas.microsoft.com/office/drawing/2014/chart" uri="{C3380CC4-5D6E-409C-BE32-E72D297353CC}">
              <c16:uniqueId val="{00000000-E6C6-4020-B953-468D972DFE13}"/>
            </c:ext>
          </c:extLst>
        </c:ser>
        <c:dLbls>
          <c:dLblPos val="t"/>
          <c:showLegendKey val="0"/>
          <c:showVal val="1"/>
          <c:showCatName val="0"/>
          <c:showSerName val="0"/>
          <c:showPercent val="0"/>
          <c:showBubbleSize val="0"/>
        </c:dLbls>
        <c:smooth val="0"/>
        <c:axId val="606502031"/>
        <c:axId val="606524911"/>
      </c:lineChart>
      <c:catAx>
        <c:axId val="60650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24911"/>
        <c:crosses val="autoZero"/>
        <c:auto val="1"/>
        <c:lblAlgn val="ctr"/>
        <c:lblOffset val="100"/>
        <c:noMultiLvlLbl val="0"/>
      </c:catAx>
      <c:valAx>
        <c:axId val="60652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02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Correlation: Booking Volume vs. Promotion Adoption</a:t>
            </a:r>
            <a:endParaRPr lang="en-US" sz="1000"/>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 Support'!$S$46</c:f>
              <c:strCache>
                <c:ptCount val="1"/>
                <c:pt idx="0">
                  <c:v>Sum of Discount Applied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'Data Support'!$R$47:$R$65</c:f>
              <c:numCache>
                <c:formatCode>General</c:formatCode>
                <c:ptCount val="19"/>
                <c:pt idx="1">
                  <c:v>27</c:v>
                </c:pt>
                <c:pt idx="2">
                  <c:v>27</c:v>
                </c:pt>
                <c:pt idx="3">
                  <c:v>30</c:v>
                </c:pt>
                <c:pt idx="4">
                  <c:v>36</c:v>
                </c:pt>
                <c:pt idx="5">
                  <c:v>26</c:v>
                </c:pt>
                <c:pt idx="7">
                  <c:v>20</c:v>
                </c:pt>
                <c:pt idx="8">
                  <c:v>36</c:v>
                </c:pt>
                <c:pt idx="9">
                  <c:v>40</c:v>
                </c:pt>
                <c:pt idx="10">
                  <c:v>33</c:v>
                </c:pt>
                <c:pt idx="11">
                  <c:v>32</c:v>
                </c:pt>
                <c:pt idx="13">
                  <c:v>16</c:v>
                </c:pt>
                <c:pt idx="14">
                  <c:v>52</c:v>
                </c:pt>
                <c:pt idx="15">
                  <c:v>37</c:v>
                </c:pt>
                <c:pt idx="16">
                  <c:v>42</c:v>
                </c:pt>
                <c:pt idx="17">
                  <c:v>38</c:v>
                </c:pt>
                <c:pt idx="18">
                  <c:v>8</c:v>
                </c:pt>
              </c:numCache>
            </c:numRef>
          </c:xVal>
          <c:yVal>
            <c:numRef>
              <c:f>'Data Support'!$S$47:$S$65</c:f>
              <c:numCache>
                <c:formatCode>General</c:formatCode>
                <c:ptCount val="19"/>
                <c:pt idx="1">
                  <c:v>295</c:v>
                </c:pt>
                <c:pt idx="2">
                  <c:v>335</c:v>
                </c:pt>
                <c:pt idx="3">
                  <c:v>445</c:v>
                </c:pt>
                <c:pt idx="4">
                  <c:v>500</c:v>
                </c:pt>
                <c:pt idx="5">
                  <c:v>300</c:v>
                </c:pt>
                <c:pt idx="7">
                  <c:v>335</c:v>
                </c:pt>
                <c:pt idx="8">
                  <c:v>380</c:v>
                </c:pt>
                <c:pt idx="9">
                  <c:v>480</c:v>
                </c:pt>
                <c:pt idx="10">
                  <c:v>490</c:v>
                </c:pt>
                <c:pt idx="11">
                  <c:v>435</c:v>
                </c:pt>
                <c:pt idx="13">
                  <c:v>205</c:v>
                </c:pt>
                <c:pt idx="14">
                  <c:v>630</c:v>
                </c:pt>
                <c:pt idx="15">
                  <c:v>550</c:v>
                </c:pt>
                <c:pt idx="16">
                  <c:v>520</c:v>
                </c:pt>
                <c:pt idx="17">
                  <c:v>480</c:v>
                </c:pt>
                <c:pt idx="18">
                  <c:v>85</c:v>
                </c:pt>
              </c:numCache>
            </c:numRef>
          </c:yVal>
          <c:smooth val="0"/>
          <c:extLst>
            <c:ext xmlns:c16="http://schemas.microsoft.com/office/drawing/2014/chart" uri="{C3380CC4-5D6E-409C-BE32-E72D297353CC}">
              <c16:uniqueId val="{00000000-7D9D-48C7-9E43-CC134BA46515}"/>
            </c:ext>
          </c:extLst>
        </c:ser>
        <c:dLbls>
          <c:showLegendKey val="0"/>
          <c:showVal val="0"/>
          <c:showCatName val="0"/>
          <c:showSerName val="0"/>
          <c:showPercent val="0"/>
          <c:showBubbleSize val="0"/>
        </c:dLbls>
        <c:axId val="54998767"/>
        <c:axId val="55000847"/>
      </c:scatterChart>
      <c:valAx>
        <c:axId val="5499876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0847"/>
        <c:crosses val="autoZero"/>
        <c:crossBetween val="midCat"/>
      </c:valAx>
      <c:valAx>
        <c:axId val="5500084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87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Support!PivotTable19</c:name>
    <c:fmtId val="1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1" i="0" u="none" strike="noStrike" baseline="0">
                <a:effectLst/>
              </a:rPr>
              <a:t>Day-of-Week Revenue &amp; Promotion</a:t>
            </a:r>
            <a:r>
              <a:rPr lang="vi-VN" sz="1000" b="1" i="0" u="none" strike="noStrike" baseline="0">
                <a:effectLst/>
              </a:rPr>
              <a:t> </a:t>
            </a:r>
            <a:r>
              <a:rPr lang="en-US" sz="1000" b="1" i="0" baseline="0">
                <a:effectLst/>
              </a:rPr>
              <a:t>(Excl. Cancellations)</a:t>
            </a:r>
            <a:endParaRPr lang="en-US" sz="1000">
              <a:effectLst/>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'Data Support'!$V$46</c:f>
              <c:strCache>
                <c:ptCount val="1"/>
                <c:pt idx="0">
                  <c:v>OTB Revenue</c:v>
                </c:pt>
              </c:strCache>
            </c:strRef>
          </c:tx>
          <c:spPr>
            <a:solidFill>
              <a:schemeClr val="accent1"/>
            </a:solidFill>
            <a:ln>
              <a:noFill/>
            </a:ln>
            <a:effectLst/>
          </c:spPr>
          <c:invertIfNegative val="0"/>
          <c:cat>
            <c:multiLvlStrRef>
              <c:f>'Data Support'!$U$47:$U$55</c:f>
              <c:multiLvlStrCache>
                <c:ptCount val="7"/>
                <c:lvl>
                  <c:pt idx="0">
                    <c:v>Sunday</c:v>
                  </c:pt>
                  <c:pt idx="1">
                    <c:v>Monday</c:v>
                  </c:pt>
                  <c:pt idx="2">
                    <c:v>Tuesday</c:v>
                  </c:pt>
                  <c:pt idx="3">
                    <c:v>Wednesday</c:v>
                  </c:pt>
                  <c:pt idx="4">
                    <c:v>Thursday</c:v>
                  </c:pt>
                  <c:pt idx="5">
                    <c:v>Friday</c:v>
                  </c:pt>
                  <c:pt idx="6">
                    <c:v>Saturday</c:v>
                  </c:pt>
                </c:lvl>
                <c:lvl>
                  <c:pt idx="0">
                    <c:v>No</c:v>
                  </c:pt>
                </c:lvl>
              </c:multiLvlStrCache>
            </c:multiLvlStrRef>
          </c:cat>
          <c:val>
            <c:numRef>
              <c:f>'Data Support'!$V$47:$V$55</c:f>
              <c:numCache>
                <c:formatCode>_("$"* #,##0_);_("$"* \(#,##0\);_("$"* "-"??_);_(@_)</c:formatCode>
                <c:ptCount val="7"/>
                <c:pt idx="0">
                  <c:v>31096.430000000004</c:v>
                </c:pt>
                <c:pt idx="1">
                  <c:v>35000.85</c:v>
                </c:pt>
                <c:pt idx="2">
                  <c:v>22161.84</c:v>
                </c:pt>
                <c:pt idx="3">
                  <c:v>35795.529999999992</c:v>
                </c:pt>
                <c:pt idx="4">
                  <c:v>24122.050000000007</c:v>
                </c:pt>
                <c:pt idx="5">
                  <c:v>34119.710000000006</c:v>
                </c:pt>
                <c:pt idx="6">
                  <c:v>27138.409999999996</c:v>
                </c:pt>
              </c:numCache>
            </c:numRef>
          </c:val>
          <c:extLst>
            <c:ext xmlns:c16="http://schemas.microsoft.com/office/drawing/2014/chart" uri="{C3380CC4-5D6E-409C-BE32-E72D297353CC}">
              <c16:uniqueId val="{00000000-CE51-4D28-9310-30EFD8FD08A4}"/>
            </c:ext>
          </c:extLst>
        </c:ser>
        <c:dLbls>
          <c:showLegendKey val="0"/>
          <c:showVal val="0"/>
          <c:showCatName val="0"/>
          <c:showSerName val="0"/>
          <c:showPercent val="0"/>
          <c:showBubbleSize val="0"/>
        </c:dLbls>
        <c:gapWidth val="150"/>
        <c:axId val="680013135"/>
        <c:axId val="680006063"/>
      </c:barChart>
      <c:lineChart>
        <c:grouping val="standard"/>
        <c:varyColors val="0"/>
        <c:ser>
          <c:idx val="1"/>
          <c:order val="1"/>
          <c:tx>
            <c:strRef>
              <c:f>'Data Support'!$W$46</c:f>
              <c:strCache>
                <c:ptCount val="1"/>
                <c:pt idx="0">
                  <c:v>Applied Promotion Volume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'Data Support'!$U$47:$U$55</c:f>
              <c:multiLvlStrCache>
                <c:ptCount val="7"/>
                <c:lvl>
                  <c:pt idx="0">
                    <c:v>Sunday</c:v>
                  </c:pt>
                  <c:pt idx="1">
                    <c:v>Monday</c:v>
                  </c:pt>
                  <c:pt idx="2">
                    <c:v>Tuesday</c:v>
                  </c:pt>
                  <c:pt idx="3">
                    <c:v>Wednesday</c:v>
                  </c:pt>
                  <c:pt idx="4">
                    <c:v>Thursday</c:v>
                  </c:pt>
                  <c:pt idx="5">
                    <c:v>Friday</c:v>
                  </c:pt>
                  <c:pt idx="6">
                    <c:v>Saturday</c:v>
                  </c:pt>
                </c:lvl>
                <c:lvl>
                  <c:pt idx="0">
                    <c:v>No</c:v>
                  </c:pt>
                </c:lvl>
              </c:multiLvlStrCache>
            </c:multiLvlStrRef>
          </c:cat>
          <c:val>
            <c:numRef>
              <c:f>'Data Support'!$W$47:$W$55</c:f>
              <c:numCache>
                <c:formatCode>General</c:formatCode>
                <c:ptCount val="7"/>
                <c:pt idx="0">
                  <c:v>510</c:v>
                </c:pt>
                <c:pt idx="1">
                  <c:v>580</c:v>
                </c:pt>
                <c:pt idx="2">
                  <c:v>485</c:v>
                </c:pt>
                <c:pt idx="3">
                  <c:v>505</c:v>
                </c:pt>
                <c:pt idx="4">
                  <c:v>350</c:v>
                </c:pt>
                <c:pt idx="5">
                  <c:v>505</c:v>
                </c:pt>
                <c:pt idx="6">
                  <c:v>440</c:v>
                </c:pt>
              </c:numCache>
            </c:numRef>
          </c:val>
          <c:smooth val="0"/>
          <c:extLst>
            <c:ext xmlns:c16="http://schemas.microsoft.com/office/drawing/2014/chart" uri="{C3380CC4-5D6E-409C-BE32-E72D297353CC}">
              <c16:uniqueId val="{00000001-CE51-4D28-9310-30EFD8FD08A4}"/>
            </c:ext>
          </c:extLst>
        </c:ser>
        <c:dLbls>
          <c:showLegendKey val="0"/>
          <c:showVal val="0"/>
          <c:showCatName val="0"/>
          <c:showSerName val="0"/>
          <c:showPercent val="0"/>
          <c:showBubbleSize val="0"/>
        </c:dLbls>
        <c:marker val="1"/>
        <c:smooth val="0"/>
        <c:axId val="680008559"/>
        <c:axId val="680002319"/>
      </c:lineChart>
      <c:catAx>
        <c:axId val="68001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6063"/>
        <c:crosses val="autoZero"/>
        <c:auto val="1"/>
        <c:lblAlgn val="ctr"/>
        <c:lblOffset val="100"/>
        <c:noMultiLvlLbl val="0"/>
      </c:catAx>
      <c:valAx>
        <c:axId val="6800060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13135"/>
        <c:crosses val="autoZero"/>
        <c:crossBetween val="between"/>
      </c:valAx>
      <c:valAx>
        <c:axId val="6800023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8559"/>
        <c:crosses val="max"/>
        <c:crossBetween val="between"/>
      </c:valAx>
      <c:catAx>
        <c:axId val="680008559"/>
        <c:scaling>
          <c:orientation val="minMax"/>
        </c:scaling>
        <c:delete val="1"/>
        <c:axPos val="b"/>
        <c:numFmt formatCode="General" sourceLinked="1"/>
        <c:majorTickMark val="none"/>
        <c:minorTickMark val="none"/>
        <c:tickLblPos val="nextTo"/>
        <c:crossAx val="68000231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C</a:t>
            </a:r>
            <a:r>
              <a:rPr lang="vi-VN" sz="1000" b="1" i="0" u="none" strike="noStrike" baseline="0">
                <a:effectLst/>
              </a:rPr>
              <a:t>orrelation:</a:t>
            </a:r>
            <a:r>
              <a:rPr lang="en-US" sz="1000" b="1" i="0" u="none" strike="noStrike" baseline="0">
                <a:effectLst/>
              </a:rPr>
              <a:t> Promo Volume </a:t>
            </a:r>
            <a:r>
              <a:rPr lang="vi-VN" sz="1000" b="1" i="0" u="none" strike="noStrike" baseline="0">
                <a:effectLst/>
              </a:rPr>
              <a:t>vs</a:t>
            </a:r>
            <a:r>
              <a:rPr lang="en-US" sz="1000" b="1" i="0" u="none" strike="noStrike" baseline="0">
                <a:effectLst/>
              </a:rPr>
              <a:t> OTB Revenue Performance</a:t>
            </a:r>
            <a:endParaRPr lang="en-US" sz="1000"/>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 Support'!$AE$46</c:f>
              <c:strCache>
                <c:ptCount val="1"/>
                <c:pt idx="0">
                  <c:v>Sum of Discount Applied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'Data Support'!$AD$47:$AD$65</c:f>
              <c:numCache>
                <c:formatCode>_("$"* #,##0_);_("$"* \(#,##0\);_("$"* "-"??_);_(@_)</c:formatCode>
                <c:ptCount val="19"/>
                <c:pt idx="1">
                  <c:v>11195.920000000002</c:v>
                </c:pt>
                <c:pt idx="2">
                  <c:v>10764.849999999999</c:v>
                </c:pt>
                <c:pt idx="3">
                  <c:v>9420.7900000000009</c:v>
                </c:pt>
                <c:pt idx="4">
                  <c:v>17811.470000000005</c:v>
                </c:pt>
                <c:pt idx="5">
                  <c:v>12507.220000000001</c:v>
                </c:pt>
                <c:pt idx="7">
                  <c:v>12415.13</c:v>
                </c:pt>
                <c:pt idx="8">
                  <c:v>10765.470000000001</c:v>
                </c:pt>
                <c:pt idx="9">
                  <c:v>13184.36</c:v>
                </c:pt>
                <c:pt idx="10">
                  <c:v>17294.339999999997</c:v>
                </c:pt>
                <c:pt idx="11">
                  <c:v>10043.09</c:v>
                </c:pt>
                <c:pt idx="13">
                  <c:v>3350.3199999999997</c:v>
                </c:pt>
                <c:pt idx="14">
                  <c:v>30511.450000000008</c:v>
                </c:pt>
                <c:pt idx="15">
                  <c:v>15980.060000000001</c:v>
                </c:pt>
                <c:pt idx="16">
                  <c:v>14756.699999999999</c:v>
                </c:pt>
                <c:pt idx="17">
                  <c:v>15935.769999999999</c:v>
                </c:pt>
                <c:pt idx="18">
                  <c:v>3497.88</c:v>
                </c:pt>
              </c:numCache>
            </c:numRef>
          </c:xVal>
          <c:yVal>
            <c:numRef>
              <c:f>'Data Support'!$AE$47:$AE$65</c:f>
              <c:numCache>
                <c:formatCode>General</c:formatCode>
                <c:ptCount val="19"/>
                <c:pt idx="1">
                  <c:v>115</c:v>
                </c:pt>
                <c:pt idx="2">
                  <c:v>175</c:v>
                </c:pt>
                <c:pt idx="3">
                  <c:v>200</c:v>
                </c:pt>
                <c:pt idx="4">
                  <c:v>370</c:v>
                </c:pt>
                <c:pt idx="5">
                  <c:v>165</c:v>
                </c:pt>
                <c:pt idx="7">
                  <c:v>205</c:v>
                </c:pt>
                <c:pt idx="8">
                  <c:v>175</c:v>
                </c:pt>
                <c:pt idx="9">
                  <c:v>220</c:v>
                </c:pt>
                <c:pt idx="10">
                  <c:v>265</c:v>
                </c:pt>
                <c:pt idx="11">
                  <c:v>185</c:v>
                </c:pt>
                <c:pt idx="13">
                  <c:v>55</c:v>
                </c:pt>
                <c:pt idx="14">
                  <c:v>375</c:v>
                </c:pt>
                <c:pt idx="15">
                  <c:v>320</c:v>
                </c:pt>
                <c:pt idx="16">
                  <c:v>285</c:v>
                </c:pt>
                <c:pt idx="17">
                  <c:v>240</c:v>
                </c:pt>
                <c:pt idx="18">
                  <c:v>25</c:v>
                </c:pt>
              </c:numCache>
            </c:numRef>
          </c:yVal>
          <c:smooth val="0"/>
          <c:extLst>
            <c:ext xmlns:c16="http://schemas.microsoft.com/office/drawing/2014/chart" uri="{C3380CC4-5D6E-409C-BE32-E72D297353CC}">
              <c16:uniqueId val="{00000000-5C3F-4838-813D-C54A8324A991}"/>
            </c:ext>
          </c:extLst>
        </c:ser>
        <c:dLbls>
          <c:showLegendKey val="0"/>
          <c:showVal val="0"/>
          <c:showCatName val="0"/>
          <c:showSerName val="0"/>
          <c:showPercent val="0"/>
          <c:showBubbleSize val="0"/>
        </c:dLbls>
        <c:axId val="57565247"/>
        <c:axId val="57559423"/>
      </c:scatterChart>
      <c:valAx>
        <c:axId val="575652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9423"/>
        <c:crosses val="autoZero"/>
        <c:crossBetween val="midCat"/>
      </c:valAx>
      <c:valAx>
        <c:axId val="5755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5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Support!PivotTable22</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vi-VN" sz="1000"/>
              <a:t>Marriott Bonvoy Member Contribution</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'Data Support'!$G$91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3C-4C8B-83B4-81B3557E9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3C-4C8B-83B4-81B3557E9A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3C-4C8B-83B4-81B3557E9A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3C-4C8B-83B4-81B3557E9A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3C-4C8B-83B4-81B3557E9A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3C-4C8B-83B4-81B3557E9A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Support'!$F$92:$F$98</c:f>
              <c:strCache>
                <c:ptCount val="6"/>
                <c:pt idx="0">
                  <c:v>Non-Member</c:v>
                </c:pt>
                <c:pt idx="1">
                  <c:v>Silver</c:v>
                </c:pt>
                <c:pt idx="2">
                  <c:v>Gold</c:v>
                </c:pt>
                <c:pt idx="3">
                  <c:v>Platinum</c:v>
                </c:pt>
                <c:pt idx="4">
                  <c:v>Titanium</c:v>
                </c:pt>
                <c:pt idx="5">
                  <c:v>Ambassador</c:v>
                </c:pt>
              </c:strCache>
            </c:strRef>
          </c:cat>
          <c:val>
            <c:numRef>
              <c:f>'Data Support'!$G$92:$G$98</c:f>
              <c:numCache>
                <c:formatCode>0%</c:formatCode>
                <c:ptCount val="6"/>
                <c:pt idx="0">
                  <c:v>0.16770186335403728</c:v>
                </c:pt>
                <c:pt idx="1">
                  <c:v>0.16149068322981366</c:v>
                </c:pt>
                <c:pt idx="2">
                  <c:v>0.16149068322981366</c:v>
                </c:pt>
                <c:pt idx="3">
                  <c:v>0.17391304347826086</c:v>
                </c:pt>
                <c:pt idx="4">
                  <c:v>0.18219461697722567</c:v>
                </c:pt>
                <c:pt idx="5">
                  <c:v>0.18426501035196688</c:v>
                </c:pt>
              </c:numCache>
            </c:numRef>
          </c:val>
          <c:extLst>
            <c:ext xmlns:c16="http://schemas.microsoft.com/office/drawing/2014/chart" uri="{C3380CC4-5D6E-409C-BE32-E72D297353CC}">
              <c16:uniqueId val="{00000000-5388-4C74-A8AE-E47EAB71CED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8.3877084171382552E-2"/>
          <c:y val="9.2037880345605658E-2"/>
          <c:w val="0.85579193533105036"/>
          <c:h val="0.11257375356429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Support!PivotTable23</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vi-VN" sz="1000"/>
              <a:t>Payment Menthod Contribution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'Data Support'!$C$91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88-4036-934D-B4D6E433B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88-4036-934D-B4D6E433B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88-4036-934D-B4D6E433B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88-4036-934D-B4D6E433B9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Support'!$B$92:$B$96</c:f>
              <c:strCache>
                <c:ptCount val="4"/>
                <c:pt idx="0">
                  <c:v>Bank Transfer</c:v>
                </c:pt>
                <c:pt idx="1">
                  <c:v>Credit Card</c:v>
                </c:pt>
                <c:pt idx="2">
                  <c:v>PayPal</c:v>
                </c:pt>
                <c:pt idx="3">
                  <c:v>Points Redemption</c:v>
                </c:pt>
              </c:strCache>
            </c:strRef>
          </c:cat>
          <c:val>
            <c:numRef>
              <c:f>'Data Support'!$C$92:$C$96</c:f>
              <c:numCache>
                <c:formatCode>0%</c:formatCode>
                <c:ptCount val="4"/>
                <c:pt idx="0">
                  <c:v>0.24399999999999999</c:v>
                </c:pt>
                <c:pt idx="1">
                  <c:v>0.25600000000000001</c:v>
                </c:pt>
                <c:pt idx="2">
                  <c:v>0.26200000000000001</c:v>
                </c:pt>
                <c:pt idx="3">
                  <c:v>0.23799999999999999</c:v>
                </c:pt>
              </c:numCache>
            </c:numRef>
          </c:val>
          <c:extLst>
            <c:ext xmlns:c16="http://schemas.microsoft.com/office/drawing/2014/chart" uri="{C3380CC4-5D6E-409C-BE32-E72D297353CC}">
              <c16:uniqueId val="{00000000-5DB0-4A9A-AA97-4070DDA6B8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Support!PivotTable24</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Room Type Preference by Loyalty Tier</a:t>
            </a:r>
            <a:endParaRPr lang="en-US" sz="1000"/>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'Data Support'!$K$91:$K$92</c:f>
              <c:strCache>
                <c:ptCount val="1"/>
                <c:pt idx="0">
                  <c:v>Standard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Support'!$K$93:$K$99</c:f>
              <c:numCache>
                <c:formatCode>0%</c:formatCode>
                <c:ptCount val="6"/>
                <c:pt idx="0">
                  <c:v>0.14049586776859505</c:v>
                </c:pt>
                <c:pt idx="1">
                  <c:v>0.14049586776859505</c:v>
                </c:pt>
                <c:pt idx="2">
                  <c:v>0.18181818181818182</c:v>
                </c:pt>
                <c:pt idx="3">
                  <c:v>0.15702479338842976</c:v>
                </c:pt>
                <c:pt idx="4">
                  <c:v>0.21487603305785125</c:v>
                </c:pt>
                <c:pt idx="5">
                  <c:v>0.16528925619834711</c:v>
                </c:pt>
              </c:numCache>
            </c:numRef>
          </c:val>
          <c:extLst>
            <c:ext xmlns:c16="http://schemas.microsoft.com/office/drawing/2014/chart" uri="{C3380CC4-5D6E-409C-BE32-E72D297353CC}">
              <c16:uniqueId val="{00000000-13C5-4D52-B6F3-9F5B27249042}"/>
            </c:ext>
          </c:extLst>
        </c:ser>
        <c:ser>
          <c:idx val="1"/>
          <c:order val="1"/>
          <c:tx>
            <c:strRef>
              <c:f>'Data Support'!$L$91:$L$92</c:f>
              <c:strCache>
                <c:ptCount val="1"/>
                <c:pt idx="0">
                  <c:v>Deluxe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Support'!$L$93:$L$99</c:f>
              <c:numCache>
                <c:formatCode>0%</c:formatCode>
                <c:ptCount val="6"/>
                <c:pt idx="0">
                  <c:v>0.17599999999999999</c:v>
                </c:pt>
                <c:pt idx="1">
                  <c:v>0.14399999999999999</c:v>
                </c:pt>
                <c:pt idx="2">
                  <c:v>0.16800000000000001</c:v>
                </c:pt>
                <c:pt idx="3">
                  <c:v>0.20799999999999999</c:v>
                </c:pt>
                <c:pt idx="4">
                  <c:v>0.16</c:v>
                </c:pt>
                <c:pt idx="5">
                  <c:v>0.14399999999999999</c:v>
                </c:pt>
              </c:numCache>
            </c:numRef>
          </c:val>
          <c:extLst>
            <c:ext xmlns:c16="http://schemas.microsoft.com/office/drawing/2014/chart" uri="{C3380CC4-5D6E-409C-BE32-E72D297353CC}">
              <c16:uniqueId val="{00000001-13C5-4D52-B6F3-9F5B27249042}"/>
            </c:ext>
          </c:extLst>
        </c:ser>
        <c:ser>
          <c:idx val="2"/>
          <c:order val="2"/>
          <c:tx>
            <c:strRef>
              <c:f>'Data Support'!$M$91:$M$92</c:f>
              <c:strCache>
                <c:ptCount val="1"/>
                <c:pt idx="0">
                  <c:v>Suite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Support'!$M$93:$M$99</c:f>
              <c:numCache>
                <c:formatCode>0%</c:formatCode>
                <c:ptCount val="6"/>
                <c:pt idx="0">
                  <c:v>0.18699186991869918</c:v>
                </c:pt>
                <c:pt idx="1">
                  <c:v>0.15447154471544716</c:v>
                </c:pt>
                <c:pt idx="2">
                  <c:v>0.15447154471544716</c:v>
                </c:pt>
                <c:pt idx="3">
                  <c:v>0.14634146341463414</c:v>
                </c:pt>
                <c:pt idx="4">
                  <c:v>0.13008130081300814</c:v>
                </c:pt>
                <c:pt idx="5">
                  <c:v>0.22764227642276422</c:v>
                </c:pt>
              </c:numCache>
            </c:numRef>
          </c:val>
          <c:extLst>
            <c:ext xmlns:c16="http://schemas.microsoft.com/office/drawing/2014/chart" uri="{C3380CC4-5D6E-409C-BE32-E72D297353CC}">
              <c16:uniqueId val="{00000002-13C5-4D52-B6F3-9F5B27249042}"/>
            </c:ext>
          </c:extLst>
        </c:ser>
        <c:ser>
          <c:idx val="3"/>
          <c:order val="3"/>
          <c:tx>
            <c:strRef>
              <c:f>'Data Support'!$N$91:$N$92</c:f>
              <c:strCache>
                <c:ptCount val="1"/>
                <c:pt idx="0">
                  <c:v>Presidential Suite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Support'!$J$93:$J$99</c:f>
              <c:strCache>
                <c:ptCount val="6"/>
                <c:pt idx="0">
                  <c:v>Non-Member</c:v>
                </c:pt>
                <c:pt idx="1">
                  <c:v>Silver</c:v>
                </c:pt>
                <c:pt idx="2">
                  <c:v>Gold</c:v>
                </c:pt>
                <c:pt idx="3">
                  <c:v>Platinum</c:v>
                </c:pt>
                <c:pt idx="4">
                  <c:v>Titanium</c:v>
                </c:pt>
                <c:pt idx="5">
                  <c:v>Ambassador</c:v>
                </c:pt>
              </c:strCache>
            </c:strRef>
          </c:cat>
          <c:val>
            <c:numRef>
              <c:f>'Data Support'!$N$93:$N$99</c:f>
              <c:numCache>
                <c:formatCode>0%</c:formatCode>
                <c:ptCount val="6"/>
                <c:pt idx="0">
                  <c:v>0.15267175572519084</c:v>
                </c:pt>
                <c:pt idx="1">
                  <c:v>0.18320610687022901</c:v>
                </c:pt>
                <c:pt idx="2">
                  <c:v>0.12213740458015267</c:v>
                </c:pt>
                <c:pt idx="3">
                  <c:v>0.16793893129770993</c:v>
                </c:pt>
                <c:pt idx="4">
                  <c:v>0.19847328244274809</c:v>
                </c:pt>
                <c:pt idx="5">
                  <c:v>0.17557251908396945</c:v>
                </c:pt>
              </c:numCache>
            </c:numRef>
          </c:val>
          <c:extLst>
            <c:ext xmlns:c16="http://schemas.microsoft.com/office/drawing/2014/chart" uri="{C3380CC4-5D6E-409C-BE32-E72D297353CC}">
              <c16:uniqueId val="{00000003-13C5-4D52-B6F3-9F5B27249042}"/>
            </c:ext>
          </c:extLst>
        </c:ser>
        <c:dLbls>
          <c:dLblPos val="ctr"/>
          <c:showLegendKey val="0"/>
          <c:showVal val="1"/>
          <c:showCatName val="0"/>
          <c:showSerName val="0"/>
          <c:showPercent val="0"/>
          <c:showBubbleSize val="0"/>
        </c:dLbls>
        <c:gapWidth val="150"/>
        <c:overlap val="100"/>
        <c:axId val="680004815"/>
        <c:axId val="680007311"/>
      </c:barChart>
      <c:catAx>
        <c:axId val="680004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7311"/>
        <c:crosses val="autoZero"/>
        <c:auto val="1"/>
        <c:lblAlgn val="ctr"/>
        <c:lblOffset val="100"/>
        <c:noMultiLvlLbl val="0"/>
      </c:catAx>
      <c:valAx>
        <c:axId val="6800073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48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Support!PivotTable25</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Booking Channel Preference by Loyalty Tier</a:t>
            </a:r>
            <a:endParaRPr lang="en-US" sz="1000"/>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'Data Support'!$S$91:$S$92</c:f>
              <c:strCache>
                <c:ptCount val="1"/>
                <c:pt idx="0">
                  <c:v>Mobile App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Support'!$R$93:$R$99</c:f>
              <c:strCache>
                <c:ptCount val="6"/>
                <c:pt idx="0">
                  <c:v>Non-Member</c:v>
                </c:pt>
                <c:pt idx="1">
                  <c:v>Silver</c:v>
                </c:pt>
                <c:pt idx="2">
                  <c:v>Gold</c:v>
                </c:pt>
                <c:pt idx="3">
                  <c:v>Platinum</c:v>
                </c:pt>
                <c:pt idx="4">
                  <c:v>Titanium</c:v>
                </c:pt>
                <c:pt idx="5">
                  <c:v>Ambassador</c:v>
                </c:pt>
              </c:strCache>
            </c:strRef>
          </c:cat>
          <c:val>
            <c:numRef>
              <c:f>'Data Support'!$S$93:$S$99</c:f>
              <c:numCache>
                <c:formatCode>0%</c:formatCode>
                <c:ptCount val="6"/>
                <c:pt idx="0">
                  <c:v>0.16250000000000001</c:v>
                </c:pt>
                <c:pt idx="1">
                  <c:v>0.16875000000000001</c:v>
                </c:pt>
                <c:pt idx="2">
                  <c:v>0.16875000000000001</c:v>
                </c:pt>
                <c:pt idx="3">
                  <c:v>0.14374999999999999</c:v>
                </c:pt>
                <c:pt idx="4">
                  <c:v>0.17499999999999999</c:v>
                </c:pt>
                <c:pt idx="5">
                  <c:v>0.18124999999999999</c:v>
                </c:pt>
              </c:numCache>
            </c:numRef>
          </c:val>
          <c:extLst>
            <c:ext xmlns:c16="http://schemas.microsoft.com/office/drawing/2014/chart" uri="{C3380CC4-5D6E-409C-BE32-E72D297353CC}">
              <c16:uniqueId val="{00000003-1923-4B8E-8C46-58C5874B997A}"/>
            </c:ext>
          </c:extLst>
        </c:ser>
        <c:ser>
          <c:idx val="1"/>
          <c:order val="1"/>
          <c:tx>
            <c:strRef>
              <c:f>'Data Support'!$T$91:$T$92</c:f>
              <c:strCache>
                <c:ptCount val="1"/>
                <c:pt idx="0">
                  <c:v>Third-Party OTA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Support'!$R$93:$R$99</c:f>
              <c:strCache>
                <c:ptCount val="6"/>
                <c:pt idx="0">
                  <c:v>Non-Member</c:v>
                </c:pt>
                <c:pt idx="1">
                  <c:v>Silver</c:v>
                </c:pt>
                <c:pt idx="2">
                  <c:v>Gold</c:v>
                </c:pt>
                <c:pt idx="3">
                  <c:v>Platinum</c:v>
                </c:pt>
                <c:pt idx="4">
                  <c:v>Titanium</c:v>
                </c:pt>
                <c:pt idx="5">
                  <c:v>Ambassador</c:v>
                </c:pt>
              </c:strCache>
            </c:strRef>
          </c:cat>
          <c:val>
            <c:numRef>
              <c:f>'Data Support'!$T$93:$T$99</c:f>
              <c:numCache>
                <c:formatCode>0%</c:formatCode>
                <c:ptCount val="6"/>
                <c:pt idx="0">
                  <c:v>0.20245398773006135</c:v>
                </c:pt>
                <c:pt idx="1">
                  <c:v>0.17791411042944785</c:v>
                </c:pt>
                <c:pt idx="2">
                  <c:v>0.10429447852760736</c:v>
                </c:pt>
                <c:pt idx="3">
                  <c:v>0.16564417177914109</c:v>
                </c:pt>
                <c:pt idx="4">
                  <c:v>0.17177914110429449</c:v>
                </c:pt>
                <c:pt idx="5">
                  <c:v>0.17791411042944785</c:v>
                </c:pt>
              </c:numCache>
            </c:numRef>
          </c:val>
          <c:extLst>
            <c:ext xmlns:c16="http://schemas.microsoft.com/office/drawing/2014/chart" uri="{C3380CC4-5D6E-409C-BE32-E72D297353CC}">
              <c16:uniqueId val="{00000004-1923-4B8E-8C46-58C5874B997A}"/>
            </c:ext>
          </c:extLst>
        </c:ser>
        <c:ser>
          <c:idx val="2"/>
          <c:order val="2"/>
          <c:tx>
            <c:strRef>
              <c:f>'Data Support'!$U$91:$U$92</c:f>
              <c:strCache>
                <c:ptCount val="1"/>
                <c:pt idx="0">
                  <c:v>Website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Support'!$R$93:$R$99</c:f>
              <c:strCache>
                <c:ptCount val="6"/>
                <c:pt idx="0">
                  <c:v>Non-Member</c:v>
                </c:pt>
                <c:pt idx="1">
                  <c:v>Silver</c:v>
                </c:pt>
                <c:pt idx="2">
                  <c:v>Gold</c:v>
                </c:pt>
                <c:pt idx="3">
                  <c:v>Platinum</c:v>
                </c:pt>
                <c:pt idx="4">
                  <c:v>Titanium</c:v>
                </c:pt>
                <c:pt idx="5">
                  <c:v>Ambassador</c:v>
                </c:pt>
              </c:strCache>
            </c:strRef>
          </c:cat>
          <c:val>
            <c:numRef>
              <c:f>'Data Support'!$U$93:$U$99</c:f>
              <c:numCache>
                <c:formatCode>0%</c:formatCode>
                <c:ptCount val="6"/>
                <c:pt idx="0">
                  <c:v>0.12994350282485875</c:v>
                </c:pt>
                <c:pt idx="1">
                  <c:v>0.12429378531073447</c:v>
                </c:pt>
                <c:pt idx="2">
                  <c:v>0.19209039548022599</c:v>
                </c:pt>
                <c:pt idx="3">
                  <c:v>0.19774011299435029</c:v>
                </c:pt>
                <c:pt idx="4">
                  <c:v>0.1807909604519774</c:v>
                </c:pt>
                <c:pt idx="5">
                  <c:v>0.1751412429378531</c:v>
                </c:pt>
              </c:numCache>
            </c:numRef>
          </c:val>
          <c:extLst>
            <c:ext xmlns:c16="http://schemas.microsoft.com/office/drawing/2014/chart" uri="{C3380CC4-5D6E-409C-BE32-E72D297353CC}">
              <c16:uniqueId val="{00000005-1923-4B8E-8C46-58C5874B997A}"/>
            </c:ext>
          </c:extLst>
        </c:ser>
        <c:dLbls>
          <c:dLblPos val="ctr"/>
          <c:showLegendKey val="0"/>
          <c:showVal val="1"/>
          <c:showCatName val="0"/>
          <c:showSerName val="0"/>
          <c:showPercent val="0"/>
          <c:showBubbleSize val="0"/>
        </c:dLbls>
        <c:gapWidth val="150"/>
        <c:overlap val="100"/>
        <c:axId val="57563167"/>
        <c:axId val="57558175"/>
      </c:barChart>
      <c:catAx>
        <c:axId val="5756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8175"/>
        <c:crosses val="autoZero"/>
        <c:auto val="1"/>
        <c:lblAlgn val="ctr"/>
        <c:lblOffset val="100"/>
        <c:noMultiLvlLbl val="0"/>
      </c:catAx>
      <c:valAx>
        <c:axId val="575581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31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Support!PivotTable26</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effectLst/>
              </a:rPr>
              <a:t>Cancellation Rate by Loyalty Tier</a:t>
            </a:r>
            <a:endParaRPr lang="en-US" sz="1000"/>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percentStacked"/>
        <c:varyColors val="0"/>
        <c:ser>
          <c:idx val="0"/>
          <c:order val="0"/>
          <c:tx>
            <c:strRef>
              <c:f>'Data Support'!$Z$91:$Z$92</c:f>
              <c:strCache>
                <c:ptCount val="1"/>
                <c:pt idx="0">
                  <c:v>No</c:v>
                </c:pt>
              </c:strCache>
            </c:strRef>
          </c:tx>
          <c:spPr>
            <a:solidFill>
              <a:schemeClr val="accent1"/>
            </a:solidFill>
            <a:ln>
              <a:noFill/>
            </a:ln>
            <a:effectLst/>
          </c:spPr>
          <c:invertIfNegative val="0"/>
          <c:dLbls>
            <c:delete val="1"/>
          </c:dLbls>
          <c:cat>
            <c:strRef>
              <c:f>'Data Support'!$Y$93:$Y$99</c:f>
              <c:strCache>
                <c:ptCount val="6"/>
                <c:pt idx="0">
                  <c:v>Gold</c:v>
                </c:pt>
                <c:pt idx="1">
                  <c:v>Silver</c:v>
                </c:pt>
                <c:pt idx="2">
                  <c:v>Titanium</c:v>
                </c:pt>
                <c:pt idx="3">
                  <c:v>Ambassador</c:v>
                </c:pt>
                <c:pt idx="4">
                  <c:v>Non-Member</c:v>
                </c:pt>
                <c:pt idx="5">
                  <c:v>Platinum</c:v>
                </c:pt>
              </c:strCache>
            </c:strRef>
          </c:cat>
          <c:val>
            <c:numRef>
              <c:f>'Data Support'!$Z$93:$Z$99</c:f>
              <c:numCache>
                <c:formatCode>0%</c:formatCode>
                <c:ptCount val="6"/>
                <c:pt idx="0">
                  <c:v>0.16091954022988506</c:v>
                </c:pt>
                <c:pt idx="1">
                  <c:v>0.17624521072796934</c:v>
                </c:pt>
                <c:pt idx="2">
                  <c:v>0.19540229885057472</c:v>
                </c:pt>
                <c:pt idx="3">
                  <c:v>0.17624521072796934</c:v>
                </c:pt>
                <c:pt idx="4">
                  <c:v>0.13026819923371646</c:v>
                </c:pt>
                <c:pt idx="5">
                  <c:v>0.16091954022988506</c:v>
                </c:pt>
              </c:numCache>
            </c:numRef>
          </c:val>
          <c:extLst>
            <c:ext xmlns:c16="http://schemas.microsoft.com/office/drawing/2014/chart" uri="{C3380CC4-5D6E-409C-BE32-E72D297353CC}">
              <c16:uniqueId val="{00000000-73EF-4B8F-A07F-14D81D4F5FB4}"/>
            </c:ext>
          </c:extLst>
        </c:ser>
        <c:ser>
          <c:idx val="1"/>
          <c:order val="1"/>
          <c:tx>
            <c:strRef>
              <c:f>'Data Support'!$AA$91:$AA$92</c:f>
              <c:strCache>
                <c:ptCount val="1"/>
                <c:pt idx="0">
                  <c:v>Yes</c:v>
                </c:pt>
              </c:strCache>
            </c:strRef>
          </c:tx>
          <c:spPr>
            <a:solidFill>
              <a:schemeClr val="accent2"/>
            </a:solidFill>
            <a:ln>
              <a:noFill/>
            </a:ln>
            <a:effectLst/>
          </c:spPr>
          <c:invertIfNegative val="0"/>
          <c:dLbls>
            <c:delete val="1"/>
          </c:dLbls>
          <c:cat>
            <c:strRef>
              <c:f>'Data Support'!$Y$93:$Y$99</c:f>
              <c:strCache>
                <c:ptCount val="6"/>
                <c:pt idx="0">
                  <c:v>Gold</c:v>
                </c:pt>
                <c:pt idx="1">
                  <c:v>Silver</c:v>
                </c:pt>
                <c:pt idx="2">
                  <c:v>Titanium</c:v>
                </c:pt>
                <c:pt idx="3">
                  <c:v>Ambassador</c:v>
                </c:pt>
                <c:pt idx="4">
                  <c:v>Non-Member</c:v>
                </c:pt>
                <c:pt idx="5">
                  <c:v>Platinum</c:v>
                </c:pt>
              </c:strCache>
            </c:strRef>
          </c:cat>
          <c:val>
            <c:numRef>
              <c:f>'Data Support'!$AA$93:$AA$99</c:f>
              <c:numCache>
                <c:formatCode>0%</c:formatCode>
                <c:ptCount val="6"/>
                <c:pt idx="0">
                  <c:v>0.15062761506276151</c:v>
                </c:pt>
                <c:pt idx="1">
                  <c:v>0.13389121338912133</c:v>
                </c:pt>
                <c:pt idx="2">
                  <c:v>0.15481171548117154</c:v>
                </c:pt>
                <c:pt idx="3">
                  <c:v>0.1799163179916318</c:v>
                </c:pt>
                <c:pt idx="4">
                  <c:v>0.20083682008368201</c:v>
                </c:pt>
                <c:pt idx="5">
                  <c:v>0.1799163179916318</c:v>
                </c:pt>
              </c:numCache>
            </c:numRef>
          </c:val>
          <c:extLst>
            <c:ext xmlns:c16="http://schemas.microsoft.com/office/drawing/2014/chart" uri="{C3380CC4-5D6E-409C-BE32-E72D297353CC}">
              <c16:uniqueId val="{00000001-73EF-4B8F-A07F-14D81D4F5FB4}"/>
            </c:ext>
          </c:extLst>
        </c:ser>
        <c:dLbls>
          <c:dLblPos val="ctr"/>
          <c:showLegendKey val="0"/>
          <c:showVal val="1"/>
          <c:showCatName val="0"/>
          <c:showSerName val="0"/>
          <c:showPercent val="0"/>
          <c:showBubbleSize val="0"/>
        </c:dLbls>
        <c:gapWidth val="219"/>
        <c:overlap val="100"/>
        <c:axId val="1426806447"/>
        <c:axId val="1426811023"/>
      </c:barChart>
      <c:catAx>
        <c:axId val="142680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11023"/>
        <c:crosses val="autoZero"/>
        <c:auto val="1"/>
        <c:lblAlgn val="ctr"/>
        <c:lblOffset val="100"/>
        <c:noMultiLvlLbl val="0"/>
      </c:catAx>
      <c:valAx>
        <c:axId val="14268110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064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'Data Support'!$C$116</c:f>
              <c:strCache>
                <c:ptCount val="1"/>
                <c:pt idx="0">
                  <c:v>Total</c:v>
                </c:pt>
              </c:strCache>
            </c:strRef>
          </c:tx>
          <c:spPr>
            <a:solidFill>
              <a:schemeClr val="accent1"/>
            </a:solidFill>
            <a:ln>
              <a:noFill/>
            </a:ln>
            <a:effectLst/>
          </c:spPr>
          <c:invertIfNegative val="0"/>
          <c:dLbls>
            <c:delete val="1"/>
          </c:dLbls>
          <c:cat>
            <c:strRef>
              <c:f>'Data Support'!$B$117:$B$123</c:f>
              <c:strCache>
                <c:ptCount val="6"/>
                <c:pt idx="0">
                  <c:v>Non-Member</c:v>
                </c:pt>
                <c:pt idx="1">
                  <c:v>Silver</c:v>
                </c:pt>
                <c:pt idx="2">
                  <c:v>Gold</c:v>
                </c:pt>
                <c:pt idx="3">
                  <c:v>Platinum</c:v>
                </c:pt>
                <c:pt idx="4">
                  <c:v>Titanium</c:v>
                </c:pt>
                <c:pt idx="5">
                  <c:v>Ambassador</c:v>
                </c:pt>
              </c:strCache>
            </c:strRef>
          </c:cat>
          <c:val>
            <c:numRef>
              <c:f>'Data Support'!$C$117:$C$123</c:f>
              <c:numCache>
                <c:formatCode>0.0</c:formatCode>
                <c:ptCount val="6"/>
                <c:pt idx="0">
                  <c:v>5.1097560975609753</c:v>
                </c:pt>
                <c:pt idx="1">
                  <c:v>5.7307692307692308</c:v>
                </c:pt>
                <c:pt idx="2">
                  <c:v>5.9358974358974361</c:v>
                </c:pt>
                <c:pt idx="3">
                  <c:v>5.5176470588235293</c:v>
                </c:pt>
                <c:pt idx="4">
                  <c:v>5.4090909090909092</c:v>
                </c:pt>
                <c:pt idx="5">
                  <c:v>5.786516853932584</c:v>
                </c:pt>
              </c:numCache>
            </c:numRef>
          </c:val>
          <c:extLst>
            <c:ext xmlns:c16="http://schemas.microsoft.com/office/drawing/2014/chart" uri="{C3380CC4-5D6E-409C-BE32-E72D297353CC}">
              <c16:uniqueId val="{00000000-7DC6-49E0-AF48-95594D0FCC21}"/>
            </c:ext>
          </c:extLst>
        </c:ser>
        <c:dLbls>
          <c:dLblPos val="ctr"/>
          <c:showLegendKey val="0"/>
          <c:showVal val="1"/>
          <c:showCatName val="0"/>
          <c:showSerName val="0"/>
          <c:showPercent val="0"/>
          <c:showBubbleSize val="0"/>
        </c:dLbls>
        <c:gapWidth val="219"/>
        <c:overlap val="-27"/>
        <c:axId val="680001903"/>
        <c:axId val="680013551"/>
      </c:barChart>
      <c:catAx>
        <c:axId val="6800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13551"/>
        <c:crosses val="autoZero"/>
        <c:auto val="1"/>
        <c:lblAlgn val="ctr"/>
        <c:lblOffset val="100"/>
        <c:noMultiLvlLbl val="0"/>
      </c:catAx>
      <c:valAx>
        <c:axId val="680013551"/>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Support!PivotTable28</c:name>
    <c:fmtId val="5"/>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vi-VN" sz="1000" b="1"/>
              <a:t>Total Room Nights by Loyalty Tier</a:t>
            </a:r>
            <a:endParaRPr lang="en-US"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 Support'!$G$116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Support'!$F$117:$F$123</c:f>
              <c:strCache>
                <c:ptCount val="6"/>
                <c:pt idx="0">
                  <c:v>Non-Member</c:v>
                </c:pt>
                <c:pt idx="1">
                  <c:v>Silver</c:v>
                </c:pt>
                <c:pt idx="2">
                  <c:v>Gold</c:v>
                </c:pt>
                <c:pt idx="3">
                  <c:v>Platinum</c:v>
                </c:pt>
                <c:pt idx="4">
                  <c:v>Titanium</c:v>
                </c:pt>
                <c:pt idx="5">
                  <c:v>Ambassador</c:v>
                </c:pt>
              </c:strCache>
            </c:strRef>
          </c:cat>
          <c:val>
            <c:numRef>
              <c:f>'Data Support'!$G$117:$G$123</c:f>
              <c:numCache>
                <c:formatCode>General</c:formatCode>
                <c:ptCount val="6"/>
                <c:pt idx="0">
                  <c:v>419</c:v>
                </c:pt>
                <c:pt idx="1">
                  <c:v>447</c:v>
                </c:pt>
                <c:pt idx="2">
                  <c:v>463</c:v>
                </c:pt>
                <c:pt idx="3">
                  <c:v>469</c:v>
                </c:pt>
                <c:pt idx="4">
                  <c:v>476</c:v>
                </c:pt>
                <c:pt idx="5">
                  <c:v>515</c:v>
                </c:pt>
              </c:numCache>
            </c:numRef>
          </c:val>
          <c:extLst>
            <c:ext xmlns:c16="http://schemas.microsoft.com/office/drawing/2014/chart" uri="{C3380CC4-5D6E-409C-BE32-E72D297353CC}">
              <c16:uniqueId val="{00000000-C128-4D55-B6E0-EE1F8F8CA09D}"/>
            </c:ext>
          </c:extLst>
        </c:ser>
        <c:dLbls>
          <c:dLblPos val="outEnd"/>
          <c:showLegendKey val="0"/>
          <c:showVal val="1"/>
          <c:showCatName val="0"/>
          <c:showSerName val="0"/>
          <c:showPercent val="0"/>
          <c:showBubbleSize val="0"/>
        </c:dLbls>
        <c:gapWidth val="219"/>
        <c:overlap val="-27"/>
        <c:axId val="57571071"/>
        <c:axId val="57563999"/>
      </c:barChart>
      <c:catAx>
        <c:axId val="5757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3999"/>
        <c:crosses val="autoZero"/>
        <c:auto val="1"/>
        <c:lblAlgn val="ctr"/>
        <c:lblOffset val="100"/>
        <c:noMultiLvlLbl val="0"/>
      </c:catAx>
      <c:valAx>
        <c:axId val="5756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7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_xlchart.4</cx:f>
      </cx:numDim>
    </cx:data>
    <cx:data id="1">
      <cx:strDim type="cat">
        <cx:f>_xlchart.3</cx:f>
      </cx:strDim>
      <cx:numDim type="val">
        <cx:f>_xlchart.5</cx:f>
      </cx:numDim>
    </cx:data>
  </cx:chartData>
  <cx:chart>
    <cx:title pos="t" align="ctr" overlay="0">
      <cx:tx>
        <cx:rich>
          <a:bodyPr spcFirstLastPara="1" vertOverflow="ellipsis" wrap="square" lIns="0" tIns="0" rIns="0" bIns="0" anchor="ctr" anchorCtr="1"/>
          <a:lstStyle/>
          <a:p>
            <a:pPr algn="ctr">
              <a:defRPr lang="en-US" sz="1000" b="1" i="0" u="none" strike="noStrike" kern="1200" spc="0" baseline="0">
                <a:solidFill>
                  <a:sysClr val="windowText" lastClr="000000">
                    <a:lumMod val="65000"/>
                    <a:lumOff val="35000"/>
                  </a:sysClr>
                </a:solidFill>
                <a:latin typeface="Calibri" panose="020F0502020204030204"/>
              </a:defRPr>
            </a:pPr>
            <a:r>
              <a:rPr lang="en-US" sz="1000" b="1"/>
              <a:t>Pareto Analysis: Booking Revenue by Member Loyalty (Excl. Cancellations)</a:t>
            </a:r>
          </a:p>
        </cx:rich>
      </cx:tx>
    </cx:title>
    <cx:plotArea>
      <cx:plotAreaRegion>
        <cx:series layoutId="clusteredColumn" uniqueId="{54F2FEB5-64F5-4E92-9020-E5AFAB0C7A33}" formatIdx="0">
          <cx:dataLabels>
            <cx:visibility seriesName="0" categoryName="0" value="1"/>
          </cx:dataLabels>
          <cx:dataId val="0"/>
          <cx:layoutPr>
            <cx:aggregation/>
          </cx:layoutPr>
          <cx:axisId val="1"/>
        </cx:series>
        <cx:series layoutId="clusteredColumn" hidden="1" uniqueId="{0A2F313D-E5FF-44AE-84A9-9DAB3240E212}" formatIdx="2">
          <cx:dataLabels>
            <cx:visibility seriesName="0" categoryName="0" value="1"/>
          </cx:dataLabels>
          <cx:dataId val="1"/>
          <cx:layoutPr>
            <cx:aggregation/>
          </cx:layoutPr>
          <cx:axisId val="1"/>
        </cx:series>
        <cx:series layoutId="paretoLine" ownerIdx="0" uniqueId="{C70AB88D-D310-4866-88DD-0E42287D11AC}" formatIdx="1">
          <cx:axisId val="2"/>
        </cx:series>
        <cx:series layoutId="paretoLine" ownerIdx="1" uniqueId="{597ECC79-706A-4004-8D2E-FDAAC12044DD}" formatIdx="3">
          <cx:axisId val="2"/>
        </cx:series>
      </cx:plotAreaRegion>
      <cx:axis id="0">
        <cx:catScaling gapWidth="0"/>
        <cx:tickLabels/>
      </cx:axis>
      <cx:axis id="1">
        <cx:valScaling/>
        <cx:tickLabels/>
      </cx:axis>
      <cx:axis id="2">
        <cx:valScaling max="1" min="0"/>
        <cx:units unit="percentage"/>
        <cx:tickLabels/>
      </cx:axis>
    </cx:plotArea>
  </cx:chart>
  <cx:clrMapOvr bg1="lt1" tx1="dk1" bg2="lt2" tx2="dk2" accent1="accent1" accent2="accent2" accent3="accent3" accent4="accent4" accent5="accent5" accent6="accent6" hlink="hlink" folHlink="folHlink"/>
</cx: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 Marriott_Mobile_Online_Booking.xlsx]Data Support!PivotTable17</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Point Redemption Rate by Tier</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'Data Support'!$T$118:$T$119</c:f>
              <c:strCache>
                <c:ptCount val="1"/>
                <c:pt idx="0">
                  <c:v>Points Redemption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8A-4DF9-BCBC-E9F399AAE1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8A-4DF9-BCBC-E9F399AAE1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8A-4DF9-BCBC-E9F399AAE1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8A-4DF9-BCBC-E9F399AAE1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8A-4DF9-BCBC-E9F399AAE1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8A-4DF9-BCBC-E9F399AAE1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'Data Support'!$S$120:$S$126</c:f>
              <c:strCache>
                <c:ptCount val="6"/>
                <c:pt idx="0">
                  <c:v>Non-Member</c:v>
                </c:pt>
                <c:pt idx="1">
                  <c:v>Silver</c:v>
                </c:pt>
                <c:pt idx="2">
                  <c:v>Gold</c:v>
                </c:pt>
                <c:pt idx="3">
                  <c:v>Platinum</c:v>
                </c:pt>
                <c:pt idx="4">
                  <c:v>Titanium</c:v>
                </c:pt>
                <c:pt idx="5">
                  <c:v>Ambassador</c:v>
                </c:pt>
              </c:strCache>
            </c:strRef>
          </c:cat>
          <c:val>
            <c:numRef>
              <c:f>'Data Support'!$T$120:$T$126</c:f>
              <c:numCache>
                <c:formatCode>0%</c:formatCode>
                <c:ptCount val="6"/>
                <c:pt idx="0">
                  <c:v>0.14285714285714285</c:v>
                </c:pt>
                <c:pt idx="1">
                  <c:v>0.11764705882352941</c:v>
                </c:pt>
                <c:pt idx="2">
                  <c:v>0.21008403361344538</c:v>
                </c:pt>
                <c:pt idx="3">
                  <c:v>0.15966386554621848</c:v>
                </c:pt>
                <c:pt idx="4">
                  <c:v>0.19327731092436976</c:v>
                </c:pt>
                <c:pt idx="5">
                  <c:v>0.17647058823529413</c:v>
                </c:pt>
              </c:numCache>
            </c:numRef>
          </c:val>
          <c:extLst>
            <c:ext xmlns:c16="http://schemas.microsoft.com/office/drawing/2014/chart" uri="{C3380CC4-5D6E-409C-BE32-E72D297353CC}">
              <c16:uniqueId val="{00000000-2250-42F3-8F50-9C4F0D6825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2. Discount &amp; Promotion'!A1"/><Relationship Id="rId3" Type="http://schemas.openxmlformats.org/officeDocument/2006/relationships/chart" Target="../charts/chart3.xml"/><Relationship Id="rId7" Type="http://schemas.openxmlformats.org/officeDocument/2006/relationships/hyperlink" Target="#'D1. Channel Distribution'!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hyperlink" Target="#'D3. Customer Insight'!A1"/></Relationships>
</file>

<file path=xl/drawings/_rels/drawing2.xml.rels><?xml version="1.0" encoding="UTF-8" standalone="yes"?>
<Relationships xmlns="http://schemas.openxmlformats.org/package/2006/relationships"><Relationship Id="rId8" Type="http://schemas.openxmlformats.org/officeDocument/2006/relationships/hyperlink" Target="#'D2. Discount &amp; Promotion'!A1"/><Relationship Id="rId3" Type="http://schemas.openxmlformats.org/officeDocument/2006/relationships/chart" Target="../charts/chart7.xml"/><Relationship Id="rId7" Type="http://schemas.openxmlformats.org/officeDocument/2006/relationships/hyperlink" Target="#'D1. Channel Distribution'!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hyperlink" Target="#'D3. Customer Insight'!A1"/></Relationships>
</file>

<file path=xl/drawings/_rels/drawing3.xml.rels><?xml version="1.0" encoding="UTF-8" standalone="yes"?>
<Relationships xmlns="http://schemas.openxmlformats.org/package/2006/relationships"><Relationship Id="rId8" Type="http://schemas.openxmlformats.org/officeDocument/2006/relationships/hyperlink" Target="#'D1. Channel Distribution'!A1"/><Relationship Id="rId3" Type="http://schemas.openxmlformats.org/officeDocument/2006/relationships/chart" Target="../charts/chart12.xml"/><Relationship Id="rId7" Type="http://schemas.openxmlformats.org/officeDocument/2006/relationships/image" Target="../media/image2.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hyperlink" Target="#'D3. Customer Insight'!A1"/><Relationship Id="rId4" Type="http://schemas.openxmlformats.org/officeDocument/2006/relationships/chart" Target="../charts/chart13.xml"/><Relationship Id="rId9" Type="http://schemas.openxmlformats.org/officeDocument/2006/relationships/hyperlink" Target="#'D2. Discount &amp; Promotion'!A1"/></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18" Type="http://schemas.openxmlformats.org/officeDocument/2006/relationships/chart" Target="../charts/chart33.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17" Type="http://schemas.openxmlformats.org/officeDocument/2006/relationships/chart" Target="../charts/chart32.xml"/><Relationship Id="rId2" Type="http://schemas.openxmlformats.org/officeDocument/2006/relationships/chart" Target="../charts/chart17.xml"/><Relationship Id="rId16" Type="http://schemas.openxmlformats.org/officeDocument/2006/relationships/chart" Target="../charts/chart31.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chart" Target="../charts/chart30.xml"/><Relationship Id="rId10" Type="http://schemas.openxmlformats.org/officeDocument/2006/relationships/chart" Target="../charts/chart25.xml"/><Relationship Id="rId19" Type="http://schemas.openxmlformats.org/officeDocument/2006/relationships/chart" Target="../charts/chart34.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4</xdr:col>
      <xdr:colOff>264260</xdr:colOff>
      <xdr:row>3</xdr:row>
      <xdr:rowOff>20321</xdr:rowOff>
    </xdr:from>
    <xdr:to>
      <xdr:col>25</xdr:col>
      <xdr:colOff>294541</xdr:colOff>
      <xdr:row>36</xdr:row>
      <xdr:rowOff>0</xdr:rowOff>
    </xdr:to>
    <xdr:grpSp>
      <xdr:nvGrpSpPr>
        <xdr:cNvPr id="39" name="Group 38"/>
        <xdr:cNvGrpSpPr/>
      </xdr:nvGrpSpPr>
      <xdr:grpSpPr>
        <a:xfrm>
          <a:off x="2719593" y="560071"/>
          <a:ext cx="12920781" cy="5948679"/>
          <a:chOff x="1569370" y="564304"/>
          <a:chExt cx="12831881" cy="6101079"/>
        </a:xfrm>
      </xdr:grpSpPr>
      <xdr:sp macro="" textlink="">
        <xdr:nvSpPr>
          <xdr:cNvPr id="42" name="Rounded Rectangle 41"/>
          <xdr:cNvSpPr/>
        </xdr:nvSpPr>
        <xdr:spPr>
          <a:xfrm>
            <a:off x="1619021" y="4127499"/>
            <a:ext cx="4316688" cy="2448983"/>
          </a:xfrm>
          <a:prstGeom prst="roundRect">
            <a:avLst>
              <a:gd name="adj" fmla="val 7879"/>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25" name="Group 24"/>
          <xdr:cNvGrpSpPr/>
        </xdr:nvGrpSpPr>
        <xdr:grpSpPr>
          <a:xfrm>
            <a:off x="1569370" y="564304"/>
            <a:ext cx="12831881" cy="6101079"/>
            <a:chOff x="1569370" y="564304"/>
            <a:chExt cx="12831881" cy="6101079"/>
          </a:xfrm>
        </xdr:grpSpPr>
        <xdr:grpSp>
          <xdr:nvGrpSpPr>
            <xdr:cNvPr id="24" name="Group 23"/>
            <xdr:cNvGrpSpPr/>
          </xdr:nvGrpSpPr>
          <xdr:grpSpPr>
            <a:xfrm>
              <a:off x="1569370" y="564304"/>
              <a:ext cx="12831881" cy="6101079"/>
              <a:chOff x="1569370" y="481754"/>
              <a:chExt cx="12831881" cy="6094729"/>
            </a:xfrm>
          </xdr:grpSpPr>
          <xdr:grpSp>
            <xdr:nvGrpSpPr>
              <xdr:cNvPr id="20" name="Group 19"/>
              <xdr:cNvGrpSpPr/>
            </xdr:nvGrpSpPr>
            <xdr:grpSpPr>
              <a:xfrm>
                <a:off x="1569370" y="481754"/>
                <a:ext cx="12831881" cy="6094728"/>
                <a:chOff x="1569370" y="481754"/>
                <a:chExt cx="12831881" cy="6094728"/>
              </a:xfrm>
            </xdr:grpSpPr>
            <xdr:grpSp>
              <xdr:nvGrpSpPr>
                <xdr:cNvPr id="43" name="Group 42"/>
                <xdr:cNvGrpSpPr/>
              </xdr:nvGrpSpPr>
              <xdr:grpSpPr>
                <a:xfrm>
                  <a:off x="1569370" y="481754"/>
                  <a:ext cx="12451430" cy="829319"/>
                  <a:chOff x="1614112" y="651081"/>
                  <a:chExt cx="9984287" cy="786986"/>
                </a:xfrm>
              </xdr:grpSpPr>
              <xdr:grpSp>
                <xdr:nvGrpSpPr>
                  <xdr:cNvPr id="34" name="Group 33"/>
                  <xdr:cNvGrpSpPr/>
                </xdr:nvGrpSpPr>
                <xdr:grpSpPr>
                  <a:xfrm>
                    <a:off x="1614112" y="651434"/>
                    <a:ext cx="1623950" cy="786279"/>
                    <a:chOff x="1606964" y="626115"/>
                    <a:chExt cx="1613230" cy="792326"/>
                  </a:xfrm>
                </xdr:grpSpPr>
                <xdr:sp macro="" textlink="">
                  <xdr:nvSpPr>
                    <xdr:cNvPr id="30" name="Rounded Rectangle 29"/>
                    <xdr:cNvSpPr/>
                  </xdr:nvSpPr>
                  <xdr:spPr>
                    <a:xfrm>
                      <a:off x="1606964" y="626115"/>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C5">
                  <xdr:nvSpPr>
                    <xdr:cNvPr id="5" name="TextBox 4"/>
                    <xdr:cNvSpPr txBox="1"/>
                  </xdr:nvSpPr>
                  <xdr:spPr>
                    <a:xfrm>
                      <a:off x="1617768" y="1084862"/>
                      <a:ext cx="1591623" cy="333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7B9D07F-05A7-4916-A4B9-E104836005D1}" type="TxLink">
                        <a:rPr lang="en-US" sz="1050" b="0" i="0" u="none" strike="noStrike">
                          <a:solidFill>
                            <a:schemeClr val="bg1">
                              <a:lumMod val="50000"/>
                            </a:schemeClr>
                          </a:solidFill>
                          <a:latin typeface="Segoe UI" panose="020B0502040204020203" pitchFamily="34" charset="0"/>
                          <a:ea typeface="Calibri"/>
                          <a:cs typeface="Segoe UI" panose="020B0502040204020203" pitchFamily="34" charset="0"/>
                        </a:rPr>
                        <a:pPr algn="ctr"/>
                        <a:t>Total Booking</a:t>
                      </a:fld>
                      <a:endParaRPr lang="en-US" sz="1050">
                        <a:solidFill>
                          <a:schemeClr val="bg1">
                            <a:lumMod val="50000"/>
                          </a:schemeClr>
                        </a:solidFill>
                        <a:latin typeface="Segoe UI" panose="020B0502040204020203" pitchFamily="34" charset="0"/>
                        <a:cs typeface="Segoe UI" panose="020B0502040204020203" pitchFamily="34" charset="0"/>
                      </a:endParaRPr>
                    </a:p>
                  </xdr:txBody>
                </xdr:sp>
                <xdr:sp macro="" textlink="      'Data Support'!C6">
                  <xdr:nvSpPr>
                    <xdr:cNvPr id="7" name="TextBox 6"/>
                    <xdr:cNvSpPr txBox="1"/>
                  </xdr:nvSpPr>
                  <xdr:spPr>
                    <a:xfrm>
                      <a:off x="1630137" y="631513"/>
                      <a:ext cx="1566884" cy="439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13E523B-919F-4AA6-A69D-6CF1DAEA7A67}"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500</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35" name="Group 34"/>
                  <xdr:cNvGrpSpPr/>
                </xdr:nvGrpSpPr>
                <xdr:grpSpPr>
                  <a:xfrm>
                    <a:off x="3706876" y="651753"/>
                    <a:ext cx="1620377" cy="785641"/>
                    <a:chOff x="3298701" y="610260"/>
                    <a:chExt cx="1613230" cy="791688"/>
                  </a:xfrm>
                </xdr:grpSpPr>
                <xdr:sp macro="" textlink="">
                  <xdr:nvSpPr>
                    <xdr:cNvPr id="31" name="Rounded Rectangle 30"/>
                    <xdr:cNvSpPr/>
                  </xdr:nvSpPr>
                  <xdr:spPr>
                    <a:xfrm>
                      <a:off x="3298701" y="610260"/>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H5">
                  <xdr:nvSpPr>
                    <xdr:cNvPr id="9" name="TextBox 8"/>
                    <xdr:cNvSpPr txBox="1"/>
                  </xdr:nvSpPr>
                  <xdr:spPr>
                    <a:xfrm>
                      <a:off x="3402719" y="1048044"/>
                      <a:ext cx="1405194" cy="353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7500057-D93A-48E8-BA64-1D1CA6627479}" type="TxLink">
                        <a:rPr lang="en-US" sz="1050" b="0" i="0" u="none" strike="noStrike">
                          <a:solidFill>
                            <a:schemeClr val="bg1">
                              <a:lumMod val="50000"/>
                            </a:schemeClr>
                          </a:solidFill>
                          <a:latin typeface="Segoe UI" panose="020B0502040204020203" pitchFamily="34" charset="0"/>
                          <a:ea typeface="Calibri"/>
                          <a:cs typeface="Segoe UI" panose="020B0502040204020203" pitchFamily="34" charset="0"/>
                        </a:rPr>
                        <a:pPr algn="ctr"/>
                        <a:t>Ave Booking Value</a:t>
                      </a:fld>
                      <a:endParaRPr lang="en-US" sz="1000">
                        <a:solidFill>
                          <a:schemeClr val="bg1">
                            <a:lumMod val="50000"/>
                          </a:schemeClr>
                        </a:solidFill>
                        <a:latin typeface="Segoe UI" panose="020B0502040204020203" pitchFamily="34" charset="0"/>
                        <a:cs typeface="Segoe UI" panose="020B0502040204020203" pitchFamily="34" charset="0"/>
                      </a:endParaRPr>
                    </a:p>
                  </xdr:txBody>
                </xdr:sp>
                <xdr:sp macro="" textlink="    'Data Support'!H6">
                  <xdr:nvSpPr>
                    <xdr:cNvPr id="26" name="TextBox 25"/>
                    <xdr:cNvSpPr txBox="1"/>
                  </xdr:nvSpPr>
                  <xdr:spPr>
                    <a:xfrm>
                      <a:off x="3461735" y="620333"/>
                      <a:ext cx="1287163" cy="471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CB96FF6-96DE-4E11-A4D2-730A2D5136AB}"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 $801 </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36" name="Group 35"/>
                  <xdr:cNvGrpSpPr/>
                </xdr:nvGrpSpPr>
                <xdr:grpSpPr>
                  <a:xfrm>
                    <a:off x="5796066" y="651969"/>
                    <a:ext cx="1623951" cy="785210"/>
                    <a:chOff x="5264563" y="630404"/>
                    <a:chExt cx="1613230" cy="791257"/>
                  </a:xfrm>
                </xdr:grpSpPr>
                <xdr:sp macro="" textlink="">
                  <xdr:nvSpPr>
                    <xdr:cNvPr id="11" name="Rounded Rectangle 10"/>
                    <xdr:cNvSpPr/>
                  </xdr:nvSpPr>
                  <xdr:spPr>
                    <a:xfrm>
                      <a:off x="5264563" y="630404"/>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J5">
                  <xdr:nvSpPr>
                    <xdr:cNvPr id="12" name="TextBox 11"/>
                    <xdr:cNvSpPr txBox="1"/>
                  </xdr:nvSpPr>
                  <xdr:spPr>
                    <a:xfrm>
                      <a:off x="5491740" y="1092221"/>
                      <a:ext cx="1158875" cy="309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133445E-7AAF-4984-8FF1-A1E68663CC5C}" type="TxLink">
                        <a:rPr lang="en-US" sz="1050" b="0" i="0" u="none" strike="noStrike">
                          <a:solidFill>
                            <a:schemeClr val="bg1">
                              <a:lumMod val="50000"/>
                            </a:schemeClr>
                          </a:solidFill>
                          <a:latin typeface="Segoe UI" panose="020B0502040204020203" pitchFamily="34" charset="0"/>
                          <a:ea typeface="Calibri"/>
                          <a:cs typeface="Segoe UI" panose="020B0502040204020203" pitchFamily="34" charset="0"/>
                        </a:rPr>
                        <a:pPr algn="ctr"/>
                        <a:t>OTB Revenue</a:t>
                      </a:fld>
                      <a:endParaRPr lang="en-US" sz="1000">
                        <a:solidFill>
                          <a:schemeClr val="bg1">
                            <a:lumMod val="50000"/>
                          </a:schemeClr>
                        </a:solidFill>
                        <a:latin typeface="Segoe UI" panose="020B0502040204020203" pitchFamily="34" charset="0"/>
                        <a:cs typeface="Segoe UI" panose="020B0502040204020203" pitchFamily="34" charset="0"/>
                      </a:endParaRPr>
                    </a:p>
                  </xdr:txBody>
                </xdr:sp>
                <xdr:sp macro="" textlink="'Data Support'!J6">
                  <xdr:nvSpPr>
                    <xdr:cNvPr id="27" name="TextBox 26"/>
                    <xdr:cNvSpPr txBox="1"/>
                  </xdr:nvSpPr>
                  <xdr:spPr>
                    <a:xfrm>
                      <a:off x="5337217" y="641254"/>
                      <a:ext cx="1467922" cy="505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356F8E0-D3F6-4170-980B-A3F0EF629A15}" type="TxLink">
                        <a:rPr lang="en-US" sz="2400" b="1" i="0" u="none" strike="noStrike">
                          <a:solidFill>
                            <a:sysClr val="windowText" lastClr="000000"/>
                          </a:solidFill>
                          <a:latin typeface="Segoe UI" panose="020B0502040204020203" pitchFamily="34" charset="0"/>
                          <a:ea typeface="Calibri"/>
                          <a:cs typeface="Segoe UI" panose="020B0502040204020203" pitchFamily="34" charset="0"/>
                        </a:rPr>
                        <a:pPr algn="ctr"/>
                        <a:t> $400,430 </a:t>
                      </a:fld>
                      <a:endParaRPr lang="en-US" sz="2400" b="1">
                        <a:solidFill>
                          <a:sysClr val="windowText" lastClr="000000"/>
                        </a:solidFill>
                        <a:latin typeface="Segoe UI" panose="020B0502040204020203" pitchFamily="34" charset="0"/>
                        <a:cs typeface="Segoe UI" panose="020B0502040204020203" pitchFamily="34" charset="0"/>
                      </a:endParaRPr>
                    </a:p>
                  </xdr:txBody>
                </xdr:sp>
              </xdr:grpSp>
              <xdr:grpSp>
                <xdr:nvGrpSpPr>
                  <xdr:cNvPr id="37" name="Group 36"/>
                  <xdr:cNvGrpSpPr/>
                </xdr:nvGrpSpPr>
                <xdr:grpSpPr>
                  <a:xfrm>
                    <a:off x="7885257" y="651081"/>
                    <a:ext cx="1623951" cy="786986"/>
                    <a:chOff x="7858924" y="700974"/>
                    <a:chExt cx="1613230" cy="793033"/>
                  </a:xfrm>
                </xdr:grpSpPr>
                <xdr:sp macro="" textlink="">
                  <xdr:nvSpPr>
                    <xdr:cNvPr id="32" name="Rounded Rectangle 31"/>
                    <xdr:cNvSpPr/>
                  </xdr:nvSpPr>
                  <xdr:spPr>
                    <a:xfrm>
                      <a:off x="7858924" y="700974"/>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O5">
                  <xdr:nvSpPr>
                    <xdr:cNvPr id="18" name="TextBox 17"/>
                    <xdr:cNvSpPr txBox="1"/>
                  </xdr:nvSpPr>
                  <xdr:spPr>
                    <a:xfrm>
                      <a:off x="8086102" y="1184445"/>
                      <a:ext cx="1158875" cy="309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9156C59-C823-492F-9E95-3F6A009AD144}" type="TxLink">
                        <a:rPr lang="en-US" sz="1050" b="0" i="0" u="none" strike="noStrike">
                          <a:solidFill>
                            <a:schemeClr val="bg1">
                              <a:lumMod val="50000"/>
                            </a:schemeClr>
                          </a:solidFill>
                          <a:latin typeface="Segoe UI" panose="020B0502040204020203" pitchFamily="34" charset="0"/>
                          <a:ea typeface="Calibri"/>
                          <a:cs typeface="Segoe UI" panose="020B0502040204020203" pitchFamily="34" charset="0"/>
                        </a:rPr>
                        <a:pPr algn="ctr"/>
                        <a:t>Cacellation Rate</a:t>
                      </a:fld>
                      <a:endParaRPr lang="en-US" sz="1000">
                        <a:solidFill>
                          <a:schemeClr val="bg1">
                            <a:lumMod val="50000"/>
                          </a:schemeClr>
                        </a:solidFill>
                        <a:latin typeface="Segoe UI" panose="020B0502040204020203" pitchFamily="34" charset="0"/>
                        <a:cs typeface="Segoe UI" panose="020B0502040204020203" pitchFamily="34" charset="0"/>
                      </a:endParaRPr>
                    </a:p>
                  </xdr:txBody>
                </xdr:sp>
                <xdr:sp macro="" textlink="'Data Support'!O6">
                  <xdr:nvSpPr>
                    <xdr:cNvPr id="28" name="TextBox 27"/>
                    <xdr:cNvSpPr txBox="1"/>
                  </xdr:nvSpPr>
                  <xdr:spPr>
                    <a:xfrm>
                      <a:off x="8086102" y="722759"/>
                      <a:ext cx="1158875" cy="4949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B3C56DC-6ABF-41AD-A02F-86DF4136BD60}"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48%</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38" name="Group 37"/>
                  <xdr:cNvGrpSpPr/>
                </xdr:nvGrpSpPr>
                <xdr:grpSpPr>
                  <a:xfrm>
                    <a:off x="9978021" y="651969"/>
                    <a:ext cx="1620378" cy="785210"/>
                    <a:chOff x="9920844" y="635000"/>
                    <a:chExt cx="1613230" cy="791257"/>
                  </a:xfrm>
                </xdr:grpSpPr>
                <xdr:sp macro="" textlink="">
                  <xdr:nvSpPr>
                    <xdr:cNvPr id="33" name="Rounded Rectangle 32"/>
                    <xdr:cNvSpPr/>
                  </xdr:nvSpPr>
                  <xdr:spPr>
                    <a:xfrm>
                      <a:off x="9920844" y="635000"/>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D5">
                  <xdr:nvSpPr>
                    <xdr:cNvPr id="15" name="TextBox 14"/>
                    <xdr:cNvSpPr txBox="1"/>
                  </xdr:nvSpPr>
                  <xdr:spPr>
                    <a:xfrm>
                      <a:off x="10148022" y="1107709"/>
                      <a:ext cx="1158875" cy="309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98E6608-7AA7-4ECD-B222-5D91D3890D76}" type="TxLink">
                        <a:rPr lang="en-US" sz="1050" b="0" i="0" u="none" strike="noStrike">
                          <a:solidFill>
                            <a:schemeClr val="bg1">
                              <a:lumMod val="50000"/>
                            </a:schemeClr>
                          </a:solidFill>
                          <a:latin typeface="Segoe UI" panose="020B0502040204020203" pitchFamily="34" charset="0"/>
                          <a:ea typeface="Calibri"/>
                          <a:cs typeface="Segoe UI" panose="020B0502040204020203" pitchFamily="34" charset="0"/>
                        </a:rPr>
                        <a:pPr algn="ctr"/>
                        <a:t>Room Night</a:t>
                      </a:fld>
                      <a:endParaRPr lang="en-US" sz="1000">
                        <a:solidFill>
                          <a:schemeClr val="bg1">
                            <a:lumMod val="50000"/>
                          </a:schemeClr>
                        </a:solidFill>
                        <a:latin typeface="Segoe UI" panose="020B0502040204020203" pitchFamily="34" charset="0"/>
                        <a:cs typeface="Segoe UI" panose="020B0502040204020203" pitchFamily="34" charset="0"/>
                      </a:endParaRPr>
                    </a:p>
                  </xdr:txBody>
                </xdr:sp>
                <xdr:sp macro="" textlink="'Data Support'!D6">
                  <xdr:nvSpPr>
                    <xdr:cNvPr id="29" name="TextBox 28"/>
                    <xdr:cNvSpPr txBox="1"/>
                  </xdr:nvSpPr>
                  <xdr:spPr>
                    <a:xfrm>
                      <a:off x="10148022" y="635000"/>
                      <a:ext cx="1158875" cy="461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AED1FD6-6B34-44B0-8CDD-0BE5F1099730}"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2789</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sp macro="" textlink="">
              <xdr:nvSpPr>
                <xdr:cNvPr id="44" name="Rounded Rectangle 43"/>
                <xdr:cNvSpPr/>
              </xdr:nvSpPr>
              <xdr:spPr>
                <a:xfrm>
                  <a:off x="6096001" y="4127498"/>
                  <a:ext cx="8305250" cy="2448984"/>
                </a:xfrm>
                <a:prstGeom prst="roundRect">
                  <a:avLst>
                    <a:gd name="adj" fmla="val 602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59" name="Group 58"/>
                <xdr:cNvGrpSpPr/>
              </xdr:nvGrpSpPr>
              <xdr:grpSpPr>
                <a:xfrm>
                  <a:off x="1569370" y="1405485"/>
                  <a:ext cx="12831880" cy="2595015"/>
                  <a:chOff x="1577837" y="1331402"/>
                  <a:chExt cx="12519163" cy="2770678"/>
                </a:xfrm>
              </xdr:grpSpPr>
              <xdr:grpSp>
                <xdr:nvGrpSpPr>
                  <xdr:cNvPr id="49" name="Group 48"/>
                  <xdr:cNvGrpSpPr/>
                </xdr:nvGrpSpPr>
                <xdr:grpSpPr>
                  <a:xfrm>
                    <a:off x="1577837" y="1331402"/>
                    <a:ext cx="3995002" cy="2770678"/>
                    <a:chOff x="1529498" y="1388573"/>
                    <a:chExt cx="3995002" cy="2770678"/>
                  </a:xfrm>
                </xdr:grpSpPr>
                <xdr:sp macro="" textlink="">
                  <xdr:nvSpPr>
                    <xdr:cNvPr id="41" name="Rounded Rectangle 40"/>
                    <xdr:cNvSpPr/>
                  </xdr:nvSpPr>
                  <xdr:spPr>
                    <a:xfrm>
                      <a:off x="1529498" y="1388573"/>
                      <a:ext cx="3995002" cy="2749510"/>
                    </a:xfrm>
                    <a:prstGeom prst="roundRect">
                      <a:avLst>
                        <a:gd name="adj" fmla="val 9620"/>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48" name="Chart 47"/>
                    <xdr:cNvGraphicFramePr>
                      <a:graphicFrameLocks/>
                    </xdr:cNvGraphicFramePr>
                  </xdr:nvGraphicFramePr>
                  <xdr:xfrm>
                    <a:off x="1549400" y="1388573"/>
                    <a:ext cx="3975100" cy="2770678"/>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4" name="Group 53"/>
                  <xdr:cNvGrpSpPr/>
                </xdr:nvGrpSpPr>
                <xdr:grpSpPr>
                  <a:xfrm>
                    <a:off x="5837169" y="1340908"/>
                    <a:ext cx="3995002" cy="2751666"/>
                    <a:chOff x="5796066" y="1365249"/>
                    <a:chExt cx="3995002" cy="2751666"/>
                  </a:xfrm>
                </xdr:grpSpPr>
                <xdr:sp macro="" textlink="">
                  <xdr:nvSpPr>
                    <xdr:cNvPr id="51" name="Rounded Rectangle 50"/>
                    <xdr:cNvSpPr/>
                  </xdr:nvSpPr>
                  <xdr:spPr>
                    <a:xfrm>
                      <a:off x="5796066" y="1367405"/>
                      <a:ext cx="3995002" cy="2749510"/>
                    </a:xfrm>
                    <a:prstGeom prst="roundRect">
                      <a:avLst>
                        <a:gd name="adj" fmla="val 8312"/>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53" name="Chart 52"/>
                    <xdr:cNvGraphicFramePr>
                      <a:graphicFrameLocks/>
                    </xdr:cNvGraphicFramePr>
                  </xdr:nvGraphicFramePr>
                  <xdr:xfrm>
                    <a:off x="5820833" y="1365249"/>
                    <a:ext cx="3970234" cy="2741083"/>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58" name="Group 57"/>
                  <xdr:cNvGrpSpPr/>
                </xdr:nvGrpSpPr>
                <xdr:grpSpPr>
                  <a:xfrm>
                    <a:off x="10097132" y="1340908"/>
                    <a:ext cx="3999868" cy="2751666"/>
                    <a:chOff x="10097132" y="1295399"/>
                    <a:chExt cx="3999868" cy="2751666"/>
                  </a:xfrm>
                </xdr:grpSpPr>
                <xdr:sp macro="" textlink="">
                  <xdr:nvSpPr>
                    <xdr:cNvPr id="56" name="Rounded Rectangle 55"/>
                    <xdr:cNvSpPr/>
                  </xdr:nvSpPr>
                  <xdr:spPr>
                    <a:xfrm>
                      <a:off x="10097132" y="1297555"/>
                      <a:ext cx="3995002" cy="2749510"/>
                    </a:xfrm>
                    <a:prstGeom prst="roundRect">
                      <a:avLst>
                        <a:gd name="adj" fmla="val 8748"/>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47" name="Chart 46"/>
                    <xdr:cNvGraphicFramePr>
                      <a:graphicFrameLocks/>
                    </xdr:cNvGraphicFramePr>
                  </xdr:nvGraphicFramePr>
                  <xdr:xfrm>
                    <a:off x="10097132" y="1295399"/>
                    <a:ext cx="3999868" cy="2747434"/>
                  </xdr:xfrm>
                  <a:graphic>
                    <a:graphicData uri="http://schemas.openxmlformats.org/drawingml/2006/chart">
                      <c:chart xmlns:c="http://schemas.openxmlformats.org/drawingml/2006/chart" xmlns:r="http://schemas.openxmlformats.org/officeDocument/2006/relationships" r:id="rId3"/>
                    </a:graphicData>
                  </a:graphic>
                </xdr:graphicFrame>
              </xdr:grpSp>
            </xdr:grpSp>
          </xdr:grpSp>
          <xdr:graphicFrame macro="">
            <xdr:nvGraphicFramePr>
              <xdr:cNvPr id="60" name="Chart 59"/>
              <xdr:cNvGraphicFramePr>
                <a:graphicFrameLocks/>
              </xdr:cNvGraphicFramePr>
            </xdr:nvGraphicFramePr>
            <xdr:xfrm>
              <a:off x="1619022" y="4127499"/>
              <a:ext cx="4378767" cy="2448984"/>
            </xdr:xfrm>
            <a:graphic>
              <a:graphicData uri="http://schemas.openxmlformats.org/drawingml/2006/chart">
                <c:chart xmlns:c="http://schemas.openxmlformats.org/drawingml/2006/chart" xmlns:r="http://schemas.openxmlformats.org/officeDocument/2006/relationships" r:id="rId4"/>
              </a:graphicData>
            </a:graphic>
          </xdr:graphicFrame>
        </xdr:grpSp>
        <xdr:pic>
          <xdr:nvPicPr>
            <xdr:cNvPr id="66" name="Picture 6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117167" y="4597400"/>
              <a:ext cx="8279060" cy="1841500"/>
            </a:xfrm>
            <a:prstGeom prst="rect">
              <a:avLst/>
            </a:prstGeom>
            <a:noFill/>
            <a:ln>
              <a:noFill/>
            </a:ln>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0</xdr:col>
      <xdr:colOff>0</xdr:colOff>
      <xdr:row>0</xdr:row>
      <xdr:rowOff>63499</xdr:rowOff>
    </xdr:from>
    <xdr:to>
      <xdr:col>29</xdr:col>
      <xdr:colOff>568476</xdr:colOff>
      <xdr:row>36</xdr:row>
      <xdr:rowOff>0</xdr:rowOff>
    </xdr:to>
    <xdr:grpSp>
      <xdr:nvGrpSpPr>
        <xdr:cNvPr id="76" name="Group 75"/>
        <xdr:cNvGrpSpPr/>
      </xdr:nvGrpSpPr>
      <xdr:grpSpPr>
        <a:xfrm>
          <a:off x="0" y="63499"/>
          <a:ext cx="18369643" cy="6445251"/>
          <a:chOff x="45357" y="63499"/>
          <a:chExt cx="18242643" cy="6512984"/>
        </a:xfrm>
      </xdr:grpSpPr>
      <xdr:sp macro="" textlink="">
        <xdr:nvSpPr>
          <xdr:cNvPr id="3" name="Rectangle 2"/>
          <xdr:cNvSpPr/>
        </xdr:nvSpPr>
        <xdr:spPr>
          <a:xfrm>
            <a:off x="2540660" y="63499"/>
            <a:ext cx="5384140" cy="4221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800">
                <a:solidFill>
                  <a:schemeClr val="bg2">
                    <a:lumMod val="25000"/>
                  </a:schemeClr>
                </a:solidFill>
                <a:latin typeface="Segoe UI Black" panose="020B0A02040204020203" pitchFamily="34" charset="0"/>
                <a:ea typeface="Segoe UI Black" panose="020B0A02040204020203" pitchFamily="34" charset="0"/>
              </a:rPr>
              <a:t>Booking Performance </a:t>
            </a:r>
            <a:r>
              <a:rPr lang="vi-VN" sz="1800">
                <a:latin typeface="Segoe UI Black" panose="020B0A02040204020203" pitchFamily="34" charset="0"/>
                <a:ea typeface="Segoe UI Black" panose="020B0A02040204020203" pitchFamily="34" charset="0"/>
              </a:rPr>
              <a:t>| </a:t>
            </a:r>
            <a:r>
              <a:rPr lang="vi-VN" sz="1800">
                <a:solidFill>
                  <a:srgbClr val="C5B358"/>
                </a:solidFill>
                <a:latin typeface="Segoe UI Black" panose="020B0A02040204020203" pitchFamily="34" charset="0"/>
                <a:ea typeface="Segoe UI Black" panose="020B0A02040204020203" pitchFamily="34" charset="0"/>
              </a:rPr>
              <a:t>Channel Distribution</a:t>
            </a:r>
            <a:endParaRPr lang="en-US" sz="1800">
              <a:solidFill>
                <a:srgbClr val="C5B358"/>
              </a:solidFill>
              <a:latin typeface="Segoe UI Black" panose="020B0A02040204020203" pitchFamily="34" charset="0"/>
              <a:ea typeface="Segoe UI Black" panose="020B0A02040204020203" pitchFamily="34" charset="0"/>
            </a:endParaRPr>
          </a:p>
        </xdr:txBody>
      </xdr:sp>
      <xdr:grpSp>
        <xdr:nvGrpSpPr>
          <xdr:cNvPr id="69" name="Group 68"/>
          <xdr:cNvGrpSpPr/>
        </xdr:nvGrpSpPr>
        <xdr:grpSpPr>
          <a:xfrm>
            <a:off x="45357" y="63499"/>
            <a:ext cx="2393043" cy="6512984"/>
            <a:chOff x="45357" y="116416"/>
            <a:chExt cx="2393043" cy="6512984"/>
          </a:xfrm>
        </xdr:grpSpPr>
        <xdr:grpSp>
          <xdr:nvGrpSpPr>
            <xdr:cNvPr id="70" name="Group 69"/>
            <xdr:cNvGrpSpPr/>
          </xdr:nvGrpSpPr>
          <xdr:grpSpPr>
            <a:xfrm>
              <a:off x="45357" y="116416"/>
              <a:ext cx="2393043" cy="6512984"/>
              <a:chOff x="45357" y="48739"/>
              <a:chExt cx="2393043" cy="6487584"/>
            </a:xfrm>
          </xdr:grpSpPr>
          <xdr:sp macro="" textlink="">
            <xdr:nvSpPr>
              <xdr:cNvPr id="21" name="Rounded Rectangle 20"/>
              <xdr:cNvSpPr/>
            </xdr:nvSpPr>
            <xdr:spPr>
              <a:xfrm>
                <a:off x="45357" y="48739"/>
                <a:ext cx="2393043" cy="6487584"/>
              </a:xfrm>
              <a:prstGeom prst="roundRect">
                <a:avLst>
                  <a:gd name="adj" fmla="val 8944"/>
                </a:avLst>
              </a:prstGeom>
              <a:solidFill>
                <a:srgbClr val="C5B358"/>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pic>
            <xdr:nvPicPr>
              <xdr:cNvPr id="22" name="Picture 2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0428" y="161532"/>
                <a:ext cx="1342900" cy="464292"/>
              </a:xfrm>
              <a:prstGeom prst="rect">
                <a:avLst/>
              </a:prstGeom>
            </xdr:spPr>
          </xdr:pic>
        </xdr:grpSp>
        <xdr:grpSp>
          <xdr:nvGrpSpPr>
            <xdr:cNvPr id="40" name="Group 39"/>
            <xdr:cNvGrpSpPr/>
          </xdr:nvGrpSpPr>
          <xdr:grpSpPr>
            <a:xfrm>
              <a:off x="238768" y="1210735"/>
              <a:ext cx="2006221" cy="4597400"/>
              <a:chOff x="108140" y="1143000"/>
              <a:chExt cx="2006221" cy="4597400"/>
            </a:xfrm>
          </xdr:grpSpPr>
          <xdr:grpSp>
            <xdr:nvGrpSpPr>
              <xdr:cNvPr id="50" name="Group 49"/>
              <xdr:cNvGrpSpPr/>
            </xdr:nvGrpSpPr>
            <xdr:grpSpPr>
              <a:xfrm>
                <a:off x="109982" y="2879942"/>
                <a:ext cx="2002536" cy="2860458"/>
                <a:chOff x="114300" y="1460500"/>
                <a:chExt cx="1295400" cy="1866900"/>
              </a:xfrm>
              <a:effectLst>
                <a:outerShdw blurRad="63500" sx="102000" sy="102000" algn="ctr" rotWithShape="0">
                  <a:prstClr val="black">
                    <a:alpha val="40000"/>
                  </a:prstClr>
                </a:outerShdw>
              </a:effectLst>
            </xdr:grpSpPr>
            <xdr:sp macro="" textlink="">
              <xdr:nvSpPr>
                <xdr:cNvPr id="52" name="Rounded Rectangle 51">
                  <a:hlinkClick xmlns:r="http://schemas.openxmlformats.org/officeDocument/2006/relationships" r:id="rId7"/>
                </xdr:cNvPr>
                <xdr:cNvSpPr/>
              </xdr:nvSpPr>
              <xdr:spPr>
                <a:xfrm>
                  <a:off x="114300" y="1460500"/>
                  <a:ext cx="1295400" cy="520700"/>
                </a:xfrm>
                <a:prstGeom prst="roundRect">
                  <a:avLst/>
                </a:prstGeom>
                <a:ln>
                  <a:solidFill>
                    <a:sysClr val="windowText" lastClr="000000"/>
                  </a:solidFill>
                </a:ln>
                <a:effectLst>
                  <a:outerShdw blurRad="63500" sx="102000" sy="102000" algn="ctr"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vi-VN" sz="1300" b="1">
                      <a:latin typeface="Segoe UI" panose="020B0502040204020203" pitchFamily="34" charset="0"/>
                      <a:cs typeface="Segoe UI" panose="020B0502040204020203" pitchFamily="34" charset="0"/>
                    </a:rPr>
                    <a:t>Channel</a:t>
                  </a:r>
                  <a:r>
                    <a:rPr lang="vi-VN" sz="1300" b="1" baseline="0">
                      <a:latin typeface="Segoe UI" panose="020B0502040204020203" pitchFamily="34" charset="0"/>
                      <a:cs typeface="Segoe UI" panose="020B0502040204020203" pitchFamily="34" charset="0"/>
                    </a:rPr>
                    <a:t> Performance</a:t>
                  </a:r>
                  <a:endParaRPr lang="en-US" sz="1300" b="1">
                    <a:latin typeface="Segoe UI" panose="020B0502040204020203" pitchFamily="34" charset="0"/>
                    <a:cs typeface="Segoe UI" panose="020B0502040204020203" pitchFamily="34" charset="0"/>
                  </a:endParaRPr>
                </a:p>
              </xdr:txBody>
            </xdr:sp>
            <xdr:sp macro="" textlink="">
              <xdr:nvSpPr>
                <xdr:cNvPr id="55" name="Rounded Rectangle 54">
                  <a:hlinkClick xmlns:r="http://schemas.openxmlformats.org/officeDocument/2006/relationships" r:id="rId8"/>
                </xdr:cNvPr>
                <xdr:cNvSpPr/>
              </xdr:nvSpPr>
              <xdr:spPr>
                <a:xfrm>
                  <a:off x="114300" y="2133600"/>
                  <a:ext cx="1295400" cy="520700"/>
                </a:xfrm>
                <a:prstGeom prst="roundRect">
                  <a:avLst/>
                </a:prstGeom>
                <a:solidFill>
                  <a:srgbClr val="C5B358"/>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vi-VN" sz="1300" b="1">
                      <a:solidFill>
                        <a:schemeClr val="bg1"/>
                      </a:solidFill>
                      <a:latin typeface="Segoe UI" panose="020B0502040204020203" pitchFamily="34" charset="0"/>
                      <a:cs typeface="Segoe UI" panose="020B0502040204020203" pitchFamily="34" charset="0"/>
                    </a:rPr>
                    <a:t>Promo Performance </a:t>
                  </a:r>
                  <a:endParaRPr lang="en-US" sz="1300" b="1">
                    <a:solidFill>
                      <a:schemeClr val="bg1"/>
                    </a:solidFill>
                    <a:latin typeface="Segoe UI" panose="020B0502040204020203" pitchFamily="34" charset="0"/>
                    <a:cs typeface="Segoe UI" panose="020B0502040204020203" pitchFamily="34" charset="0"/>
                  </a:endParaRPr>
                </a:p>
              </xdr:txBody>
            </xdr:sp>
            <xdr:sp macro="" textlink="">
              <xdr:nvSpPr>
                <xdr:cNvPr id="57" name="Rounded Rectangle 56">
                  <a:hlinkClick xmlns:r="http://schemas.openxmlformats.org/officeDocument/2006/relationships" r:id="rId9"/>
                </xdr:cNvPr>
                <xdr:cNvSpPr/>
              </xdr:nvSpPr>
              <xdr:spPr>
                <a:xfrm>
                  <a:off x="114300" y="2806700"/>
                  <a:ext cx="1295400" cy="520700"/>
                </a:xfrm>
                <a:prstGeom prst="roundRect">
                  <a:avLst/>
                </a:prstGeom>
                <a:solidFill>
                  <a:srgbClr val="C5B358"/>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vi-VN" sz="1300" b="1">
                      <a:solidFill>
                        <a:schemeClr val="bg1"/>
                      </a:solidFill>
                      <a:latin typeface="Segoe UI" panose="020B0502040204020203" pitchFamily="34" charset="0"/>
                      <a:cs typeface="Segoe UI" panose="020B0502040204020203" pitchFamily="34" charset="0"/>
                    </a:rPr>
                    <a:t>Customer Insight</a:t>
                  </a:r>
                  <a:endParaRPr lang="en-US" sz="1300" b="1">
                    <a:solidFill>
                      <a:schemeClr val="bg1"/>
                    </a:solidFill>
                    <a:latin typeface="Segoe UI" panose="020B0502040204020203" pitchFamily="34" charset="0"/>
                    <a:cs typeface="Segoe UI" panose="020B0502040204020203" pitchFamily="34" charset="0"/>
                  </a:endParaRPr>
                </a:p>
              </xdr:txBody>
            </xdr:sp>
          </xdr:grpSp>
          <mc:AlternateContent xmlns:mc="http://schemas.openxmlformats.org/markup-compatibility/2006" xmlns:tsle="http://schemas.microsoft.com/office/drawing/2012/timeslicer">
            <mc:Choice Requires="tsle">
              <xdr:graphicFrame macro="">
                <xdr:nvGraphicFramePr>
                  <xdr:cNvPr id="13" name="Booking Date"/>
                  <xdr:cNvGraphicFramePr/>
                </xdr:nvGraphicFramePr>
                <xdr:xfrm>
                  <a:off x="108140" y="1143000"/>
                  <a:ext cx="2006221" cy="1326222"/>
                </xdr:xfrm>
                <a:graphic>
                  <a:graphicData uri="http://schemas.microsoft.com/office/drawing/2012/timeslicer">
                    <tsle:timeslicer name="Booking Date"/>
                  </a:graphicData>
                </a:graphic>
              </xdr:graphicFrame>
            </mc:Choice>
            <mc:Fallback xmlns="">
              <xdr:sp macro="" textlink="">
                <xdr:nvSpPr>
                  <xdr:cNvPr id="0" name=""/>
                  <xdr:cNvSpPr>
                    <a:spLocks noTextEdit="1"/>
                  </xdr:cNvSpPr>
                </xdr:nvSpPr>
                <xdr:spPr>
                  <a:xfrm>
                    <a:off x="194757" y="1146437"/>
                    <a:ext cx="2020188" cy="131243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grpSp>
      </xdr:grpSp>
      <xdr:grpSp>
        <xdr:nvGrpSpPr>
          <xdr:cNvPr id="73" name="Group 72"/>
          <xdr:cNvGrpSpPr/>
        </xdr:nvGrpSpPr>
        <xdr:grpSpPr>
          <a:xfrm>
            <a:off x="15798800" y="63499"/>
            <a:ext cx="2489200" cy="6510528"/>
            <a:chOff x="15849600" y="88900"/>
            <a:chExt cx="2489200" cy="6510528"/>
          </a:xfrm>
        </xdr:grpSpPr>
        <xdr:sp macro="" textlink="">
          <xdr:nvSpPr>
            <xdr:cNvPr id="63" name="Rounded Rectangle 62"/>
            <xdr:cNvSpPr/>
          </xdr:nvSpPr>
          <xdr:spPr>
            <a:xfrm>
              <a:off x="15849600" y="88900"/>
              <a:ext cx="2489200" cy="6510528"/>
            </a:xfrm>
            <a:prstGeom prst="roundRect">
              <a:avLst>
                <a:gd name="adj" fmla="val 4034"/>
              </a:avLst>
            </a:prstGeom>
            <a:solidFill>
              <a:srgbClr val="C5B358"/>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64" name="Booking Platform 1"/>
                <xdr:cNvGraphicFramePr/>
              </xdr:nvGraphicFramePr>
              <xdr:xfrm>
                <a:off x="16008350" y="1342711"/>
                <a:ext cx="2136140" cy="1241043"/>
              </xdr:xfrm>
              <a:graphic>
                <a:graphicData uri="http://schemas.microsoft.com/office/drawing/2010/slicer">
                  <sle:slicer xmlns:sle="http://schemas.microsoft.com/office/drawing/2010/slicer" name="Booking Platform 1"/>
                </a:graphicData>
              </a:graphic>
            </xdr:graphicFrame>
          </mc:Choice>
          <mc:Fallback xmlns="">
            <xdr:sp macro="" textlink="">
              <xdr:nvSpPr>
                <xdr:cNvPr id="0" name=""/>
                <xdr:cNvSpPr>
                  <a:spLocks noTextEdit="1"/>
                </xdr:cNvSpPr>
              </xdr:nvSpPr>
              <xdr:spPr>
                <a:xfrm>
                  <a:off x="16022969" y="1304271"/>
                  <a:ext cx="2151011" cy="1228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5" name="Room Type 1"/>
                <xdr:cNvGraphicFramePr/>
              </xdr:nvGraphicFramePr>
              <xdr:xfrm>
                <a:off x="16008350" y="2758064"/>
                <a:ext cx="2136140" cy="1556352"/>
              </xdr:xfrm>
              <a:graphic>
                <a:graphicData uri="http://schemas.microsoft.com/office/drawing/2010/slicer">
                  <sle:slicer xmlns:sle="http://schemas.microsoft.com/office/drawing/2010/slicer" name="Room Type 1"/>
                </a:graphicData>
              </a:graphic>
            </xdr:graphicFrame>
          </mc:Choice>
          <mc:Fallback xmlns="">
            <xdr:sp macro="" textlink="">
              <xdr:nvSpPr>
                <xdr:cNvPr id="0" name=""/>
                <xdr:cNvSpPr>
                  <a:spLocks noTextEdit="1"/>
                </xdr:cNvSpPr>
              </xdr:nvSpPr>
              <xdr:spPr>
                <a:xfrm>
                  <a:off x="16022969" y="2704905"/>
                  <a:ext cx="2151011" cy="1540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7" name="Loyalty Membership Status 1"/>
                <xdr:cNvGraphicFramePr/>
              </xdr:nvGraphicFramePr>
              <xdr:xfrm>
                <a:off x="16008350" y="4488726"/>
                <a:ext cx="2136140" cy="2039075"/>
              </xdr:xfrm>
              <a:graphic>
                <a:graphicData uri="http://schemas.microsoft.com/office/drawing/2010/slicer">
                  <sle:slicer xmlns:sle="http://schemas.microsoft.com/office/drawing/2010/slicer" name="Loyalty Membership Status 1"/>
                </a:graphicData>
              </a:graphic>
            </xdr:graphicFrame>
          </mc:Choice>
          <mc:Fallback xmlns="">
            <xdr:sp macro="" textlink="">
              <xdr:nvSpPr>
                <xdr:cNvPr id="0" name=""/>
                <xdr:cNvSpPr>
                  <a:spLocks noTextEdit="1"/>
                </xdr:cNvSpPr>
              </xdr:nvSpPr>
              <xdr:spPr>
                <a:xfrm>
                  <a:off x="16022969" y="4417568"/>
                  <a:ext cx="2151011" cy="2017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Cancellation Status 1"/>
                <xdr:cNvGraphicFramePr/>
              </xdr:nvGraphicFramePr>
              <xdr:xfrm>
                <a:off x="16008350" y="241302"/>
                <a:ext cx="2136140" cy="927099"/>
              </xdr:xfrm>
              <a:graphic>
                <a:graphicData uri="http://schemas.microsoft.com/office/drawing/2010/slicer">
                  <sle:slicer xmlns:sle="http://schemas.microsoft.com/office/drawing/2010/slicer" name="Cancellation Status 1"/>
                </a:graphicData>
              </a:graphic>
            </xdr:graphicFrame>
          </mc:Choice>
          <mc:Fallback xmlns="">
            <xdr:sp macro="" textlink="">
              <xdr:nvSpPr>
                <xdr:cNvPr id="0" name=""/>
                <xdr:cNvSpPr>
                  <a:spLocks noTextEdit="1"/>
                </xdr:cNvSpPr>
              </xdr:nvSpPr>
              <xdr:spPr>
                <a:xfrm>
                  <a:off x="16022969" y="214316"/>
                  <a:ext cx="2151011" cy="917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610310</xdr:colOff>
      <xdr:row>2</xdr:row>
      <xdr:rowOff>169333</xdr:rowOff>
    </xdr:from>
    <xdr:to>
      <xdr:col>25</xdr:col>
      <xdr:colOff>264175</xdr:colOff>
      <xdr:row>36</xdr:row>
      <xdr:rowOff>103682</xdr:rowOff>
    </xdr:to>
    <xdr:grpSp>
      <xdr:nvGrpSpPr>
        <xdr:cNvPr id="3" name="Group 2"/>
        <xdr:cNvGrpSpPr/>
      </xdr:nvGrpSpPr>
      <xdr:grpSpPr>
        <a:xfrm>
          <a:off x="2494143" y="529166"/>
          <a:ext cx="13158199" cy="6051516"/>
          <a:chOff x="1595367" y="460587"/>
          <a:chExt cx="13158199" cy="6051516"/>
        </a:xfrm>
      </xdr:grpSpPr>
      <xdr:grpSp>
        <xdr:nvGrpSpPr>
          <xdr:cNvPr id="5" name="Group 4"/>
          <xdr:cNvGrpSpPr/>
        </xdr:nvGrpSpPr>
        <xdr:grpSpPr>
          <a:xfrm>
            <a:off x="1620170" y="460587"/>
            <a:ext cx="12540330" cy="786613"/>
            <a:chOff x="1614112" y="651081"/>
            <a:chExt cx="9984287" cy="786632"/>
          </a:xfrm>
        </xdr:grpSpPr>
        <xdr:grpSp>
          <xdr:nvGrpSpPr>
            <xdr:cNvPr id="6" name="Group 5"/>
            <xdr:cNvGrpSpPr/>
          </xdr:nvGrpSpPr>
          <xdr:grpSpPr>
            <a:xfrm>
              <a:off x="1614112" y="651434"/>
              <a:ext cx="1623950" cy="786279"/>
              <a:chOff x="1606964" y="626115"/>
              <a:chExt cx="1613230" cy="792326"/>
            </a:xfrm>
          </xdr:grpSpPr>
          <xdr:sp macro="" textlink="">
            <xdr:nvSpPr>
              <xdr:cNvPr id="23" name="Rounded Rectangle 22"/>
              <xdr:cNvSpPr/>
            </xdr:nvSpPr>
            <xdr:spPr>
              <a:xfrm>
                <a:off x="1606964" y="626115"/>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C5">
            <xdr:nvSpPr>
              <xdr:cNvPr id="24" name="TextBox 23"/>
              <xdr:cNvSpPr txBox="1"/>
            </xdr:nvSpPr>
            <xdr:spPr>
              <a:xfrm>
                <a:off x="1617768" y="1084862"/>
                <a:ext cx="1591623" cy="333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7B9D07F-05A7-4916-A4B9-E104836005D1}" type="TxLink">
                  <a:rPr lang="en-US" sz="1050" b="0" i="0" u="none" strike="noStrike">
                    <a:solidFill>
                      <a:schemeClr val="bg2">
                        <a:lumMod val="75000"/>
                      </a:schemeClr>
                    </a:solidFill>
                    <a:latin typeface="Segoe UI" panose="020B0502040204020203" pitchFamily="34" charset="0"/>
                    <a:ea typeface="Calibri"/>
                    <a:cs typeface="Segoe UI" panose="020B0502040204020203" pitchFamily="34" charset="0"/>
                  </a:rPr>
                  <a:pPr algn="ctr"/>
                  <a:t>Total Booking</a:t>
                </a:fld>
                <a:endParaRPr lang="en-US" sz="1050">
                  <a:solidFill>
                    <a:schemeClr val="bg2">
                      <a:lumMod val="75000"/>
                    </a:schemeClr>
                  </a:solidFill>
                  <a:latin typeface="Segoe UI" panose="020B0502040204020203" pitchFamily="34" charset="0"/>
                  <a:cs typeface="Segoe UI" panose="020B0502040204020203" pitchFamily="34" charset="0"/>
                </a:endParaRPr>
              </a:p>
            </xdr:txBody>
          </xdr:sp>
          <xdr:sp macro="" textlink="      'Data Support'!C6">
            <xdr:nvSpPr>
              <xdr:cNvPr id="25" name="TextBox 24"/>
              <xdr:cNvSpPr txBox="1"/>
            </xdr:nvSpPr>
            <xdr:spPr>
              <a:xfrm>
                <a:off x="1630137" y="631513"/>
                <a:ext cx="1566884" cy="439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13E523B-919F-4AA6-A69D-6CF1DAEA7A67}"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500</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7" name="Group 6"/>
            <xdr:cNvGrpSpPr/>
          </xdr:nvGrpSpPr>
          <xdr:grpSpPr>
            <a:xfrm>
              <a:off x="3706876" y="651753"/>
              <a:ext cx="1620377" cy="785641"/>
              <a:chOff x="3298701" y="610260"/>
              <a:chExt cx="1613230" cy="791688"/>
            </a:xfrm>
          </xdr:grpSpPr>
          <xdr:sp macro="" textlink="">
            <xdr:nvSpPr>
              <xdr:cNvPr id="20" name="Rounded Rectangle 19"/>
              <xdr:cNvSpPr/>
            </xdr:nvSpPr>
            <xdr:spPr>
              <a:xfrm>
                <a:off x="3298701" y="610260"/>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H5">
            <xdr:nvSpPr>
              <xdr:cNvPr id="21" name="TextBox 20"/>
              <xdr:cNvSpPr txBox="1"/>
            </xdr:nvSpPr>
            <xdr:spPr>
              <a:xfrm>
                <a:off x="3402719" y="1048044"/>
                <a:ext cx="1405194" cy="353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7500057-D93A-48E8-BA64-1D1CA6627479}" type="TxLink">
                  <a:rPr lang="en-US" sz="1050" b="0" i="0" u="none" strike="noStrike">
                    <a:solidFill>
                      <a:schemeClr val="bg2">
                        <a:lumMod val="75000"/>
                      </a:schemeClr>
                    </a:solidFill>
                    <a:latin typeface="Segoe UI" panose="020B0502040204020203" pitchFamily="34" charset="0"/>
                    <a:ea typeface="Calibri"/>
                    <a:cs typeface="Segoe UI" panose="020B0502040204020203" pitchFamily="34" charset="0"/>
                  </a:rPr>
                  <a:pPr algn="ctr"/>
                  <a:t>Ave Booking Value</a:t>
                </a:fld>
                <a:endParaRPr lang="en-US" sz="1000">
                  <a:solidFill>
                    <a:schemeClr val="bg2">
                      <a:lumMod val="75000"/>
                    </a:schemeClr>
                  </a:solidFill>
                  <a:latin typeface="Segoe UI" panose="020B0502040204020203" pitchFamily="34" charset="0"/>
                  <a:cs typeface="Segoe UI" panose="020B0502040204020203" pitchFamily="34" charset="0"/>
                </a:endParaRPr>
              </a:p>
            </xdr:txBody>
          </xdr:sp>
          <xdr:sp macro="" textlink="    'Data Support'!H6">
            <xdr:nvSpPr>
              <xdr:cNvPr id="22" name="TextBox 21"/>
              <xdr:cNvSpPr txBox="1"/>
            </xdr:nvSpPr>
            <xdr:spPr>
              <a:xfrm>
                <a:off x="3461735" y="620333"/>
                <a:ext cx="1287163" cy="471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CB96FF6-96DE-4E11-A4D2-730A2D5136AB}"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 $801 </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8" name="Group 7"/>
            <xdr:cNvGrpSpPr/>
          </xdr:nvGrpSpPr>
          <xdr:grpSpPr>
            <a:xfrm>
              <a:off x="5796066" y="651969"/>
              <a:ext cx="1623951" cy="785210"/>
              <a:chOff x="5264563" y="630404"/>
              <a:chExt cx="1613230" cy="791257"/>
            </a:xfrm>
          </xdr:grpSpPr>
          <xdr:sp macro="" textlink="">
            <xdr:nvSpPr>
              <xdr:cNvPr id="17" name="Rounded Rectangle 16"/>
              <xdr:cNvSpPr/>
            </xdr:nvSpPr>
            <xdr:spPr>
              <a:xfrm>
                <a:off x="5264563" y="630404"/>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Q5">
            <xdr:nvSpPr>
              <xdr:cNvPr id="18" name="TextBox 17"/>
              <xdr:cNvSpPr txBox="1"/>
            </xdr:nvSpPr>
            <xdr:spPr>
              <a:xfrm>
                <a:off x="5491740" y="1092221"/>
                <a:ext cx="1158875" cy="309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D25773C-92F0-4CA2-A63F-667621BDBA44}" type="TxLink">
                  <a:rPr lang="en-US" sz="1100" b="0" i="0" u="none" strike="noStrike">
                    <a:solidFill>
                      <a:schemeClr val="bg1">
                        <a:lumMod val="65000"/>
                      </a:schemeClr>
                    </a:solidFill>
                    <a:latin typeface="Calibri"/>
                    <a:ea typeface="Calibri"/>
                    <a:cs typeface="Calibri"/>
                  </a:rPr>
                  <a:pPr algn="ctr"/>
                  <a:t>No. Applied Promo</a:t>
                </a:fld>
                <a:endParaRPr lang="en-US" sz="1000">
                  <a:solidFill>
                    <a:schemeClr val="bg1">
                      <a:lumMod val="65000"/>
                    </a:schemeClr>
                  </a:solidFill>
                  <a:latin typeface="Segoe UI" panose="020B0502040204020203" pitchFamily="34" charset="0"/>
                  <a:cs typeface="Segoe UI" panose="020B0502040204020203" pitchFamily="34" charset="0"/>
                </a:endParaRPr>
              </a:p>
            </xdr:txBody>
          </xdr:sp>
          <xdr:sp macro="" textlink="'Data Support'!Q6">
            <xdr:nvSpPr>
              <xdr:cNvPr id="19" name="TextBox 18"/>
              <xdr:cNvSpPr txBox="1"/>
            </xdr:nvSpPr>
            <xdr:spPr>
              <a:xfrm>
                <a:off x="5347333" y="665543"/>
                <a:ext cx="1467922" cy="505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DB9F613-240E-43F6-8EC1-2CC930472D85}"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6465</a:t>
                </a:fld>
                <a:endParaRPr lang="en-US" sz="2400" b="1">
                  <a:solidFill>
                    <a:sysClr val="windowText" lastClr="000000"/>
                  </a:solidFill>
                  <a:latin typeface="Segoe UI" panose="020B0502040204020203" pitchFamily="34" charset="0"/>
                  <a:cs typeface="Segoe UI" panose="020B0502040204020203" pitchFamily="34" charset="0"/>
                </a:endParaRPr>
              </a:p>
            </xdr:txBody>
          </xdr:sp>
        </xdr:grpSp>
        <xdr:grpSp>
          <xdr:nvGrpSpPr>
            <xdr:cNvPr id="9" name="Group 8"/>
            <xdr:cNvGrpSpPr/>
          </xdr:nvGrpSpPr>
          <xdr:grpSpPr>
            <a:xfrm>
              <a:off x="7885257" y="651081"/>
              <a:ext cx="1623951" cy="785224"/>
              <a:chOff x="7858924" y="700974"/>
              <a:chExt cx="1613230" cy="791257"/>
            </a:xfrm>
          </xdr:grpSpPr>
          <xdr:sp macro="" textlink="">
            <xdr:nvSpPr>
              <xdr:cNvPr id="14" name="Rounded Rectangle 13"/>
              <xdr:cNvSpPr/>
            </xdr:nvSpPr>
            <xdr:spPr>
              <a:xfrm>
                <a:off x="7858924" y="700974"/>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L5">
            <xdr:nvSpPr>
              <xdr:cNvPr id="15" name="TextBox 14"/>
              <xdr:cNvSpPr txBox="1"/>
            </xdr:nvSpPr>
            <xdr:spPr>
              <a:xfrm>
                <a:off x="8021170" y="1184445"/>
                <a:ext cx="1288737" cy="245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C9F6A8D-B22F-4CBB-A34C-E229522897E7}" type="TxLink">
                  <a:rPr lang="en-US" sz="1100" b="0" i="0" u="none" strike="noStrike">
                    <a:solidFill>
                      <a:schemeClr val="bg1">
                        <a:lumMod val="65000"/>
                      </a:schemeClr>
                    </a:solidFill>
                    <a:latin typeface="Calibri"/>
                    <a:ea typeface="Calibri"/>
                    <a:cs typeface="Calibri"/>
                  </a:rPr>
                  <a:pPr algn="ctr"/>
                  <a:t>Avg. Promo per Booking</a:t>
                </a:fld>
                <a:endParaRPr lang="en-US" sz="1000">
                  <a:solidFill>
                    <a:schemeClr val="bg1">
                      <a:lumMod val="65000"/>
                    </a:schemeClr>
                  </a:solidFill>
                  <a:latin typeface="Segoe UI" panose="020B0502040204020203" pitchFamily="34" charset="0"/>
                  <a:cs typeface="Segoe UI" panose="020B0502040204020203" pitchFamily="34" charset="0"/>
                </a:endParaRPr>
              </a:p>
            </xdr:txBody>
          </xdr:sp>
          <xdr:sp macro="" textlink="'Data Support'!L6">
            <xdr:nvSpPr>
              <xdr:cNvPr id="16" name="TextBox 15"/>
              <xdr:cNvSpPr txBox="1"/>
            </xdr:nvSpPr>
            <xdr:spPr>
              <a:xfrm>
                <a:off x="8086102" y="722759"/>
                <a:ext cx="1158875" cy="4949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1227814-6EAF-4F77-9922-1E84AF0EF06B}"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13</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10" name="Group 9"/>
            <xdr:cNvGrpSpPr/>
          </xdr:nvGrpSpPr>
          <xdr:grpSpPr>
            <a:xfrm>
              <a:off x="9978021" y="651969"/>
              <a:ext cx="1620378" cy="785210"/>
              <a:chOff x="9920844" y="635000"/>
              <a:chExt cx="1613230" cy="791257"/>
            </a:xfrm>
          </xdr:grpSpPr>
          <xdr:sp macro="" textlink="">
            <xdr:nvSpPr>
              <xdr:cNvPr id="11" name="Rounded Rectangle 10"/>
              <xdr:cNvSpPr/>
            </xdr:nvSpPr>
            <xdr:spPr>
              <a:xfrm>
                <a:off x="9920844" y="635000"/>
                <a:ext cx="1613230" cy="791257"/>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M5">
            <xdr:nvSpPr>
              <xdr:cNvPr id="12" name="TextBox 11"/>
              <xdr:cNvSpPr txBox="1"/>
            </xdr:nvSpPr>
            <xdr:spPr>
              <a:xfrm>
                <a:off x="9982856" y="1119853"/>
                <a:ext cx="1445705" cy="25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7F6608C-1753-4B87-A621-22DDA5875781}" type="TxLink">
                  <a:rPr lang="en-US" sz="1100" b="0" i="0" u="none" strike="noStrike">
                    <a:solidFill>
                      <a:schemeClr val="bg1">
                        <a:lumMod val="65000"/>
                      </a:schemeClr>
                    </a:solidFill>
                    <a:latin typeface="Calibri"/>
                    <a:ea typeface="Calibri"/>
                    <a:cs typeface="Calibri"/>
                  </a:rPr>
                  <a:pPr algn="ctr"/>
                  <a:t>Discounted Booking Rate</a:t>
                </a:fld>
                <a:endParaRPr lang="en-US" sz="1000">
                  <a:solidFill>
                    <a:schemeClr val="bg1">
                      <a:lumMod val="65000"/>
                    </a:schemeClr>
                  </a:solidFill>
                  <a:latin typeface="Segoe UI" panose="020B0502040204020203" pitchFamily="34" charset="0"/>
                  <a:cs typeface="Segoe UI" panose="020B0502040204020203" pitchFamily="34" charset="0"/>
                </a:endParaRPr>
              </a:p>
            </xdr:txBody>
          </xdr:sp>
          <xdr:sp macro="" textlink="'Data Support'!M6">
            <xdr:nvSpPr>
              <xdr:cNvPr id="13" name="TextBox 12"/>
              <xdr:cNvSpPr txBox="1"/>
            </xdr:nvSpPr>
            <xdr:spPr>
              <a:xfrm>
                <a:off x="10148022" y="635000"/>
                <a:ext cx="1158875" cy="461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29D949E-0176-44ED-8C77-4D6960F61D82}"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86%</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grpSp>
        <xdr:nvGrpSpPr>
          <xdr:cNvPr id="57" name="Group 56"/>
          <xdr:cNvGrpSpPr/>
        </xdr:nvGrpSpPr>
        <xdr:grpSpPr>
          <a:xfrm>
            <a:off x="1595367" y="1329177"/>
            <a:ext cx="12894024" cy="2449073"/>
            <a:chOff x="1595367" y="1325956"/>
            <a:chExt cx="12765265" cy="2442631"/>
          </a:xfrm>
        </xdr:grpSpPr>
        <xdr:grpSp>
          <xdr:nvGrpSpPr>
            <xdr:cNvPr id="45" name="Group 44"/>
            <xdr:cNvGrpSpPr/>
          </xdr:nvGrpSpPr>
          <xdr:grpSpPr>
            <a:xfrm>
              <a:off x="1595367" y="1325956"/>
              <a:ext cx="4102871" cy="2442631"/>
              <a:chOff x="1540730" y="1362469"/>
              <a:chExt cx="4104963" cy="2506264"/>
            </a:xfrm>
          </xdr:grpSpPr>
          <xdr:sp macro="" textlink="">
            <xdr:nvSpPr>
              <xdr:cNvPr id="36" name="Rounded Rectangle 35"/>
              <xdr:cNvSpPr/>
            </xdr:nvSpPr>
            <xdr:spPr>
              <a:xfrm>
                <a:off x="1565546" y="1362469"/>
                <a:ext cx="4080147" cy="2485851"/>
              </a:xfrm>
              <a:prstGeom prst="roundRect">
                <a:avLst>
                  <a:gd name="adj" fmla="val 10728"/>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38" name="Chart 37"/>
              <xdr:cNvGraphicFramePr>
                <a:graphicFrameLocks/>
              </xdr:cNvGraphicFramePr>
            </xdr:nvGraphicFramePr>
            <xdr:xfrm>
              <a:off x="1540730" y="1370961"/>
              <a:ext cx="4066487" cy="2497772"/>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46" name="Group 45"/>
            <xdr:cNvGrpSpPr/>
          </xdr:nvGrpSpPr>
          <xdr:grpSpPr>
            <a:xfrm>
              <a:off x="5965923" y="1337066"/>
              <a:ext cx="4078068" cy="2422172"/>
              <a:chOff x="5918503" y="1375770"/>
              <a:chExt cx="4080146" cy="2485851"/>
            </a:xfrm>
          </xdr:grpSpPr>
          <xdr:sp macro="" textlink="">
            <xdr:nvSpPr>
              <xdr:cNvPr id="34" name="Rounded Rectangle 33"/>
              <xdr:cNvSpPr/>
            </xdr:nvSpPr>
            <xdr:spPr>
              <a:xfrm>
                <a:off x="5918503" y="1375770"/>
                <a:ext cx="4080146" cy="2485851"/>
              </a:xfrm>
              <a:prstGeom prst="roundRect">
                <a:avLst>
                  <a:gd name="adj" fmla="val 1015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Segoe UI" panose="020B0502040204020203" pitchFamily="34" charset="0"/>
                    <a:cs typeface="Segoe UI" panose="020B0502040204020203" pitchFamily="34" charset="0"/>
                  </a:rPr>
                  <a:t> </a:t>
                </a:r>
              </a:p>
            </xdr:txBody>
          </xdr:sp>
          <xdr:graphicFrame macro="">
            <xdr:nvGraphicFramePr>
              <xdr:cNvPr id="39" name="Chart 38"/>
              <xdr:cNvGraphicFramePr>
                <a:graphicFrameLocks/>
              </xdr:cNvGraphicFramePr>
            </xdr:nvGraphicFramePr>
            <xdr:xfrm>
              <a:off x="6135512" y="1420389"/>
              <a:ext cx="3646129" cy="2396612"/>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56" name="Group 55"/>
            <xdr:cNvGrpSpPr/>
          </xdr:nvGrpSpPr>
          <xdr:grpSpPr>
            <a:xfrm>
              <a:off x="10311676" y="1337066"/>
              <a:ext cx="4048956" cy="2422172"/>
              <a:chOff x="10311676" y="1323730"/>
              <a:chExt cx="4048956" cy="2422172"/>
            </a:xfrm>
          </xdr:grpSpPr>
          <xdr:sp macro="" textlink="">
            <xdr:nvSpPr>
              <xdr:cNvPr id="32" name="Rounded Rectangle 31"/>
              <xdr:cNvSpPr/>
            </xdr:nvSpPr>
            <xdr:spPr>
              <a:xfrm>
                <a:off x="10311676" y="1323730"/>
                <a:ext cx="4048956" cy="2422172"/>
              </a:xfrm>
              <a:prstGeom prst="roundRect">
                <a:avLst>
                  <a:gd name="adj" fmla="val 1243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43" name="Chart 42"/>
              <xdr:cNvGraphicFramePr>
                <a:graphicFrameLocks/>
              </xdr:cNvGraphicFramePr>
            </xdr:nvGraphicFramePr>
            <xdr:xfrm>
              <a:off x="10435767" y="1335445"/>
              <a:ext cx="3829885" cy="2398741"/>
            </xdr:xfrm>
            <a:graphic>
              <a:graphicData uri="http://schemas.openxmlformats.org/drawingml/2006/chart">
                <c:chart xmlns:c="http://schemas.openxmlformats.org/drawingml/2006/chart" xmlns:r="http://schemas.openxmlformats.org/officeDocument/2006/relationships" r:id="rId3"/>
              </a:graphicData>
            </a:graphic>
          </xdr:graphicFrame>
        </xdr:grpSp>
      </xdr:grpSp>
      <xdr:grpSp>
        <xdr:nvGrpSpPr>
          <xdr:cNvPr id="64" name="Group 63"/>
          <xdr:cNvGrpSpPr/>
        </xdr:nvGrpSpPr>
        <xdr:grpSpPr>
          <a:xfrm>
            <a:off x="1601305" y="3916033"/>
            <a:ext cx="13152261" cy="2596070"/>
            <a:chOff x="1601305" y="4077669"/>
            <a:chExt cx="12990625" cy="2711525"/>
          </a:xfrm>
        </xdr:grpSpPr>
        <xdr:grpSp>
          <xdr:nvGrpSpPr>
            <xdr:cNvPr id="63" name="Group 62"/>
            <xdr:cNvGrpSpPr/>
          </xdr:nvGrpSpPr>
          <xdr:grpSpPr>
            <a:xfrm>
              <a:off x="8171131" y="4077669"/>
              <a:ext cx="6420799" cy="2711525"/>
              <a:chOff x="8231036" y="4010292"/>
              <a:chExt cx="6469812" cy="2682934"/>
            </a:xfrm>
          </xdr:grpSpPr>
          <xdr:sp macro="" textlink="">
            <xdr:nvSpPr>
              <xdr:cNvPr id="61" name="Rounded Rectangle 60"/>
              <xdr:cNvSpPr/>
            </xdr:nvSpPr>
            <xdr:spPr>
              <a:xfrm>
                <a:off x="8234816" y="4010292"/>
                <a:ext cx="6386463" cy="2682934"/>
              </a:xfrm>
              <a:prstGeom prst="roundRect">
                <a:avLst>
                  <a:gd name="adj" fmla="val 1126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42" name="Chart 41"/>
              <xdr:cNvGraphicFramePr>
                <a:graphicFrameLocks/>
              </xdr:cNvGraphicFramePr>
            </xdr:nvGraphicFramePr>
            <xdr:xfrm>
              <a:off x="8231036" y="4055613"/>
              <a:ext cx="6469812" cy="2444151"/>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2" name="Group 61"/>
            <xdr:cNvGrpSpPr/>
          </xdr:nvGrpSpPr>
          <xdr:grpSpPr>
            <a:xfrm>
              <a:off x="1601305" y="4077669"/>
              <a:ext cx="6336195" cy="2711525"/>
              <a:chOff x="1601305" y="3974132"/>
              <a:chExt cx="6372042" cy="2662642"/>
            </a:xfrm>
          </xdr:grpSpPr>
          <xdr:sp macro="" textlink="">
            <xdr:nvSpPr>
              <xdr:cNvPr id="26" name="Rounded Rectangle 25"/>
              <xdr:cNvSpPr/>
            </xdr:nvSpPr>
            <xdr:spPr>
              <a:xfrm>
                <a:off x="1601305" y="3974132"/>
                <a:ext cx="6372042" cy="2662642"/>
              </a:xfrm>
              <a:prstGeom prst="roundRect">
                <a:avLst>
                  <a:gd name="adj" fmla="val 1208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41" name="Chart 40"/>
              <xdr:cNvGraphicFramePr>
                <a:graphicFrameLocks/>
              </xdr:cNvGraphicFramePr>
            </xdr:nvGraphicFramePr>
            <xdr:xfrm>
              <a:off x="1678231" y="3995690"/>
              <a:ext cx="6218190" cy="2580968"/>
            </xdr:xfrm>
            <a:graphic>
              <a:graphicData uri="http://schemas.openxmlformats.org/drawingml/2006/chart">
                <c:chart xmlns:c="http://schemas.openxmlformats.org/drawingml/2006/chart" xmlns:r="http://schemas.openxmlformats.org/officeDocument/2006/relationships" r:id="rId5"/>
              </a:graphicData>
            </a:graphic>
          </xdr:graphicFrame>
        </xdr:grpSp>
      </xdr:grpSp>
    </xdr:grpSp>
    <xdr:clientData/>
  </xdr:twoCellAnchor>
  <xdr:twoCellAnchor>
    <xdr:from>
      <xdr:col>0</xdr:col>
      <xdr:colOff>0</xdr:colOff>
      <xdr:row>0</xdr:row>
      <xdr:rowOff>116417</xdr:rowOff>
    </xdr:from>
    <xdr:to>
      <xdr:col>29</xdr:col>
      <xdr:colOff>399143</xdr:colOff>
      <xdr:row>36</xdr:row>
      <xdr:rowOff>152401</xdr:rowOff>
    </xdr:to>
    <xdr:grpSp>
      <xdr:nvGrpSpPr>
        <xdr:cNvPr id="4" name="Group 3"/>
        <xdr:cNvGrpSpPr/>
      </xdr:nvGrpSpPr>
      <xdr:grpSpPr>
        <a:xfrm>
          <a:off x="0" y="116417"/>
          <a:ext cx="18242643" cy="6512984"/>
          <a:chOff x="0" y="116417"/>
          <a:chExt cx="18242643" cy="6512984"/>
        </a:xfrm>
      </xdr:grpSpPr>
      <xdr:sp macro="" textlink="">
        <xdr:nvSpPr>
          <xdr:cNvPr id="73" name="Rectangle 72"/>
          <xdr:cNvSpPr/>
        </xdr:nvSpPr>
        <xdr:spPr>
          <a:xfrm>
            <a:off x="2495303" y="116417"/>
            <a:ext cx="5384140" cy="4221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800">
                <a:solidFill>
                  <a:schemeClr val="bg2">
                    <a:lumMod val="25000"/>
                  </a:schemeClr>
                </a:solidFill>
                <a:latin typeface="Segoe UI Black" panose="020B0A02040204020203" pitchFamily="34" charset="0"/>
                <a:ea typeface="Segoe UI Black" panose="020B0A02040204020203" pitchFamily="34" charset="0"/>
              </a:rPr>
              <a:t>Booking Performance </a:t>
            </a:r>
            <a:r>
              <a:rPr lang="vi-VN" sz="1800">
                <a:latin typeface="Segoe UI Black" panose="020B0A02040204020203" pitchFamily="34" charset="0"/>
                <a:ea typeface="Segoe UI Black" panose="020B0A02040204020203" pitchFamily="34" charset="0"/>
              </a:rPr>
              <a:t>| </a:t>
            </a:r>
            <a:r>
              <a:rPr lang="vi-VN" sz="1800">
                <a:solidFill>
                  <a:srgbClr val="C5B358"/>
                </a:solidFill>
                <a:latin typeface="Segoe UI Black" panose="020B0A02040204020203" pitchFamily="34" charset="0"/>
                <a:ea typeface="Segoe UI Black" panose="020B0A02040204020203" pitchFamily="34" charset="0"/>
              </a:rPr>
              <a:t>Discount</a:t>
            </a:r>
            <a:r>
              <a:rPr lang="vi-VN" sz="1800" baseline="0">
                <a:solidFill>
                  <a:srgbClr val="C5B358"/>
                </a:solidFill>
                <a:latin typeface="Segoe UI Black" panose="020B0A02040204020203" pitchFamily="34" charset="0"/>
                <a:ea typeface="Segoe UI Black" panose="020B0A02040204020203" pitchFamily="34" charset="0"/>
              </a:rPr>
              <a:t> &amp; Promotion</a:t>
            </a:r>
            <a:endParaRPr lang="en-US" sz="1800">
              <a:solidFill>
                <a:srgbClr val="C5B358"/>
              </a:solidFill>
              <a:latin typeface="Segoe UI Black" panose="020B0A02040204020203" pitchFamily="34" charset="0"/>
              <a:ea typeface="Segoe UI Black" panose="020B0A02040204020203" pitchFamily="34" charset="0"/>
            </a:endParaRPr>
          </a:p>
        </xdr:txBody>
      </xdr:sp>
      <xdr:grpSp>
        <xdr:nvGrpSpPr>
          <xdr:cNvPr id="74" name="Group 73"/>
          <xdr:cNvGrpSpPr/>
        </xdr:nvGrpSpPr>
        <xdr:grpSpPr>
          <a:xfrm>
            <a:off x="0" y="116417"/>
            <a:ext cx="2393043" cy="6512984"/>
            <a:chOff x="45357" y="116416"/>
            <a:chExt cx="2393043" cy="6512984"/>
          </a:xfrm>
        </xdr:grpSpPr>
        <xdr:grpSp>
          <xdr:nvGrpSpPr>
            <xdr:cNvPr id="81" name="Group 80"/>
            <xdr:cNvGrpSpPr/>
          </xdr:nvGrpSpPr>
          <xdr:grpSpPr>
            <a:xfrm>
              <a:off x="45357" y="116416"/>
              <a:ext cx="2393043" cy="6512984"/>
              <a:chOff x="45357" y="48739"/>
              <a:chExt cx="2393043" cy="6487584"/>
            </a:xfrm>
          </xdr:grpSpPr>
          <xdr:sp macro="" textlink="">
            <xdr:nvSpPr>
              <xdr:cNvPr id="88" name="Rounded Rectangle 87"/>
              <xdr:cNvSpPr/>
            </xdr:nvSpPr>
            <xdr:spPr>
              <a:xfrm>
                <a:off x="45357" y="48739"/>
                <a:ext cx="2393043" cy="6487584"/>
              </a:xfrm>
              <a:prstGeom prst="roundRect">
                <a:avLst>
                  <a:gd name="adj" fmla="val 8944"/>
                </a:avLst>
              </a:prstGeom>
              <a:solidFill>
                <a:srgbClr val="C5B358"/>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pic>
            <xdr:nvPicPr>
              <xdr:cNvPr id="89" name="Picture 8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0428" y="161532"/>
                <a:ext cx="1342900" cy="464292"/>
              </a:xfrm>
              <a:prstGeom prst="rect">
                <a:avLst/>
              </a:prstGeom>
            </xdr:spPr>
          </xdr:pic>
        </xdr:grpSp>
        <xdr:grpSp>
          <xdr:nvGrpSpPr>
            <xdr:cNvPr id="82" name="Group 81"/>
            <xdr:cNvGrpSpPr/>
          </xdr:nvGrpSpPr>
          <xdr:grpSpPr>
            <a:xfrm>
              <a:off x="238768" y="1210735"/>
              <a:ext cx="2006221" cy="4597400"/>
              <a:chOff x="108140" y="1143000"/>
              <a:chExt cx="2006221" cy="4597400"/>
            </a:xfrm>
          </xdr:grpSpPr>
          <xdr:grpSp>
            <xdr:nvGrpSpPr>
              <xdr:cNvPr id="83" name="Group 82"/>
              <xdr:cNvGrpSpPr/>
            </xdr:nvGrpSpPr>
            <xdr:grpSpPr>
              <a:xfrm>
                <a:off x="109982" y="2879942"/>
                <a:ext cx="2002536" cy="2860458"/>
                <a:chOff x="114300" y="1460500"/>
                <a:chExt cx="1295400" cy="1866900"/>
              </a:xfrm>
              <a:effectLst>
                <a:outerShdw blurRad="63500" sx="102000" sy="102000" algn="ctr" rotWithShape="0">
                  <a:prstClr val="black">
                    <a:alpha val="40000"/>
                  </a:prstClr>
                </a:outerShdw>
              </a:effectLst>
            </xdr:grpSpPr>
            <xdr:sp macro="" textlink="">
              <xdr:nvSpPr>
                <xdr:cNvPr id="85" name="Rounded Rectangle 84">
                  <a:hlinkClick xmlns:r="http://schemas.openxmlformats.org/officeDocument/2006/relationships" r:id="rId7"/>
                </xdr:cNvPr>
                <xdr:cNvSpPr/>
              </xdr:nvSpPr>
              <xdr:spPr>
                <a:xfrm>
                  <a:off x="114300" y="1460500"/>
                  <a:ext cx="1295400" cy="520700"/>
                </a:xfrm>
                <a:prstGeom prst="roundRect">
                  <a:avLst/>
                </a:prstGeom>
                <a:solidFill>
                  <a:srgbClr val="C5B358"/>
                </a:solidFill>
                <a:ln>
                  <a:noFill/>
                </a:ln>
                <a:effectLst>
                  <a:outerShdw blurRad="63500" sx="102000" sy="102000" algn="ctr"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vi-VN" sz="1300" b="1">
                      <a:latin typeface="Segoe UI" panose="020B0502040204020203" pitchFamily="34" charset="0"/>
                      <a:cs typeface="Segoe UI" panose="020B0502040204020203" pitchFamily="34" charset="0"/>
                    </a:rPr>
                    <a:t>Channel</a:t>
                  </a:r>
                  <a:r>
                    <a:rPr lang="vi-VN" sz="1300" b="1" baseline="0">
                      <a:latin typeface="Segoe UI" panose="020B0502040204020203" pitchFamily="34" charset="0"/>
                      <a:cs typeface="Segoe UI" panose="020B0502040204020203" pitchFamily="34" charset="0"/>
                    </a:rPr>
                    <a:t> Performance</a:t>
                  </a:r>
                  <a:endParaRPr lang="en-US" sz="1300" b="1">
                    <a:latin typeface="Segoe UI" panose="020B0502040204020203" pitchFamily="34" charset="0"/>
                    <a:cs typeface="Segoe UI" panose="020B0502040204020203" pitchFamily="34" charset="0"/>
                  </a:endParaRPr>
                </a:p>
              </xdr:txBody>
            </xdr:sp>
            <xdr:sp macro="" textlink="">
              <xdr:nvSpPr>
                <xdr:cNvPr id="86" name="Rounded Rectangle 85">
                  <a:hlinkClick xmlns:r="http://schemas.openxmlformats.org/officeDocument/2006/relationships" r:id="rId8"/>
                </xdr:cNvPr>
                <xdr:cNvSpPr/>
              </xdr:nvSpPr>
              <xdr:spPr>
                <a:xfrm>
                  <a:off x="114300" y="2133600"/>
                  <a:ext cx="1295400" cy="520700"/>
                </a:xfrm>
                <a:prstGeom prst="roundRect">
                  <a:avLst/>
                </a:prstGeom>
                <a:solidFill>
                  <a:schemeClr val="tx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vi-VN" sz="1300" b="1">
                      <a:solidFill>
                        <a:schemeClr val="bg1"/>
                      </a:solidFill>
                      <a:latin typeface="Segoe UI" panose="020B0502040204020203" pitchFamily="34" charset="0"/>
                      <a:cs typeface="Segoe UI" panose="020B0502040204020203" pitchFamily="34" charset="0"/>
                    </a:rPr>
                    <a:t>Promo Performance </a:t>
                  </a:r>
                  <a:endParaRPr lang="en-US" sz="1300" b="1">
                    <a:solidFill>
                      <a:schemeClr val="bg1"/>
                    </a:solidFill>
                    <a:latin typeface="Segoe UI" panose="020B0502040204020203" pitchFamily="34" charset="0"/>
                    <a:cs typeface="Segoe UI" panose="020B0502040204020203" pitchFamily="34" charset="0"/>
                  </a:endParaRPr>
                </a:p>
              </xdr:txBody>
            </xdr:sp>
            <xdr:sp macro="" textlink="">
              <xdr:nvSpPr>
                <xdr:cNvPr id="87" name="Rounded Rectangle 86">
                  <a:hlinkClick xmlns:r="http://schemas.openxmlformats.org/officeDocument/2006/relationships" r:id="rId9"/>
                </xdr:cNvPr>
                <xdr:cNvSpPr/>
              </xdr:nvSpPr>
              <xdr:spPr>
                <a:xfrm>
                  <a:off x="114300" y="2806700"/>
                  <a:ext cx="1295400" cy="520700"/>
                </a:xfrm>
                <a:prstGeom prst="roundRect">
                  <a:avLst/>
                </a:prstGeom>
                <a:solidFill>
                  <a:srgbClr val="C5B358"/>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vi-VN" sz="1300" b="1">
                      <a:solidFill>
                        <a:schemeClr val="bg1"/>
                      </a:solidFill>
                      <a:latin typeface="Segoe UI" panose="020B0502040204020203" pitchFamily="34" charset="0"/>
                      <a:cs typeface="Segoe UI" panose="020B0502040204020203" pitchFamily="34" charset="0"/>
                    </a:rPr>
                    <a:t>Customer Insight</a:t>
                  </a:r>
                  <a:endParaRPr lang="en-US" sz="1300" b="1">
                    <a:solidFill>
                      <a:schemeClr val="bg1"/>
                    </a:solidFill>
                    <a:latin typeface="Segoe UI" panose="020B0502040204020203" pitchFamily="34" charset="0"/>
                    <a:cs typeface="Segoe UI" panose="020B0502040204020203" pitchFamily="34" charset="0"/>
                  </a:endParaRPr>
                </a:p>
              </xdr:txBody>
            </xdr:sp>
          </xdr:grpSp>
          <mc:AlternateContent xmlns:mc="http://schemas.openxmlformats.org/markup-compatibility/2006" xmlns:tsle="http://schemas.microsoft.com/office/drawing/2012/timeslicer">
            <mc:Choice Requires="tsle">
              <xdr:graphicFrame macro="">
                <xdr:nvGraphicFramePr>
                  <xdr:cNvPr id="84" name="Booking Date 1"/>
                  <xdr:cNvGraphicFramePr/>
                </xdr:nvGraphicFramePr>
                <xdr:xfrm>
                  <a:off x="108140" y="1143000"/>
                  <a:ext cx="2006221" cy="1326222"/>
                </xdr:xfrm>
                <a:graphic>
                  <a:graphicData uri="http://schemas.microsoft.com/office/drawing/2012/timeslicer">
                    <tsle:timeslicer name="Booking Date 1"/>
                  </a:graphicData>
                </a:graphic>
              </xdr:graphicFrame>
            </mc:Choice>
            <mc:Fallback xmlns="">
              <xdr:sp macro="" textlink="">
                <xdr:nvSpPr>
                  <xdr:cNvPr id="0" name=""/>
                  <xdr:cNvSpPr>
                    <a:spLocks noTextEdit="1"/>
                  </xdr:cNvSpPr>
                </xdr:nvSpPr>
                <xdr:spPr>
                  <a:xfrm>
                    <a:off x="193411" y="1210736"/>
                    <a:ext cx="2006221" cy="1326222"/>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grpSp>
      </xdr:grpSp>
      <xdr:grpSp>
        <xdr:nvGrpSpPr>
          <xdr:cNvPr id="75" name="Group 74"/>
          <xdr:cNvGrpSpPr/>
        </xdr:nvGrpSpPr>
        <xdr:grpSpPr>
          <a:xfrm>
            <a:off x="15753443" y="116417"/>
            <a:ext cx="2489200" cy="6510528"/>
            <a:chOff x="15849600" y="88900"/>
            <a:chExt cx="2489200" cy="6510528"/>
          </a:xfrm>
        </xdr:grpSpPr>
        <xdr:sp macro="" textlink="">
          <xdr:nvSpPr>
            <xdr:cNvPr id="76" name="Rounded Rectangle 75"/>
            <xdr:cNvSpPr/>
          </xdr:nvSpPr>
          <xdr:spPr>
            <a:xfrm>
              <a:off x="15849600" y="88900"/>
              <a:ext cx="2489200" cy="6510528"/>
            </a:xfrm>
            <a:prstGeom prst="roundRect">
              <a:avLst>
                <a:gd name="adj" fmla="val 4034"/>
              </a:avLst>
            </a:prstGeom>
            <a:solidFill>
              <a:srgbClr val="C5B358"/>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77" name="Booking Platform 2"/>
                <xdr:cNvGraphicFramePr/>
              </xdr:nvGraphicFramePr>
              <xdr:xfrm>
                <a:off x="16008350" y="1342711"/>
                <a:ext cx="2136140" cy="1241043"/>
              </xdr:xfrm>
              <a:graphic>
                <a:graphicData uri="http://schemas.microsoft.com/office/drawing/2010/slicer">
                  <sle:slicer xmlns:sle="http://schemas.microsoft.com/office/drawing/2010/slicer" name="Booking Platform 2"/>
                </a:graphicData>
              </a:graphic>
            </xdr:graphicFrame>
          </mc:Choice>
          <mc:Fallback xmlns="">
            <xdr:sp macro="" textlink="">
              <xdr:nvSpPr>
                <xdr:cNvPr id="0" name=""/>
                <xdr:cNvSpPr>
                  <a:spLocks noTextEdit="1"/>
                </xdr:cNvSpPr>
              </xdr:nvSpPr>
              <xdr:spPr>
                <a:xfrm>
                  <a:off x="15912193" y="1370228"/>
                  <a:ext cx="2136140" cy="1241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Room Type 2"/>
                <xdr:cNvGraphicFramePr/>
              </xdr:nvGraphicFramePr>
              <xdr:xfrm>
                <a:off x="16008350" y="2758064"/>
                <a:ext cx="2136140" cy="1556352"/>
              </xdr:xfrm>
              <a:graphic>
                <a:graphicData uri="http://schemas.microsoft.com/office/drawing/2010/slicer">
                  <sle:slicer xmlns:sle="http://schemas.microsoft.com/office/drawing/2010/slicer" name="Room Type 2"/>
                </a:graphicData>
              </a:graphic>
            </xdr:graphicFrame>
          </mc:Choice>
          <mc:Fallback xmlns="">
            <xdr:sp macro="" textlink="">
              <xdr:nvSpPr>
                <xdr:cNvPr id="0" name=""/>
                <xdr:cNvSpPr>
                  <a:spLocks noTextEdit="1"/>
                </xdr:cNvSpPr>
              </xdr:nvSpPr>
              <xdr:spPr>
                <a:xfrm>
                  <a:off x="15912193" y="2785581"/>
                  <a:ext cx="2136140" cy="1556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9" name="Loyalty Membership Status 2"/>
                <xdr:cNvGraphicFramePr/>
              </xdr:nvGraphicFramePr>
              <xdr:xfrm>
                <a:off x="16008350" y="4488726"/>
                <a:ext cx="2136140" cy="2039075"/>
              </xdr:xfrm>
              <a:graphic>
                <a:graphicData uri="http://schemas.microsoft.com/office/drawing/2010/slicer">
                  <sle:slicer xmlns:sle="http://schemas.microsoft.com/office/drawing/2010/slicer" name="Loyalty Membership Status 2"/>
                </a:graphicData>
              </a:graphic>
            </xdr:graphicFrame>
          </mc:Choice>
          <mc:Fallback xmlns="">
            <xdr:sp macro="" textlink="">
              <xdr:nvSpPr>
                <xdr:cNvPr id="0" name=""/>
                <xdr:cNvSpPr>
                  <a:spLocks noTextEdit="1"/>
                </xdr:cNvSpPr>
              </xdr:nvSpPr>
              <xdr:spPr>
                <a:xfrm>
                  <a:off x="15912193" y="4516243"/>
                  <a:ext cx="2136140" cy="2039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0" name="Cancellation Status 2"/>
                <xdr:cNvGraphicFramePr/>
              </xdr:nvGraphicFramePr>
              <xdr:xfrm>
                <a:off x="16008350" y="241302"/>
                <a:ext cx="2136140" cy="927099"/>
              </xdr:xfrm>
              <a:graphic>
                <a:graphicData uri="http://schemas.microsoft.com/office/drawing/2010/slicer">
                  <sle:slicer xmlns:sle="http://schemas.microsoft.com/office/drawing/2010/slicer" name="Cancellation Status 2"/>
                </a:graphicData>
              </a:graphic>
            </xdr:graphicFrame>
          </mc:Choice>
          <mc:Fallback xmlns="">
            <xdr:sp macro="" textlink="">
              <xdr:nvSpPr>
                <xdr:cNvPr id="0" name=""/>
                <xdr:cNvSpPr>
                  <a:spLocks noTextEdit="1"/>
                </xdr:cNvSpPr>
              </xdr:nvSpPr>
              <xdr:spPr>
                <a:xfrm>
                  <a:off x="15912193" y="268819"/>
                  <a:ext cx="2136140" cy="927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4</xdr:col>
      <xdr:colOff>141692</xdr:colOff>
      <xdr:row>2</xdr:row>
      <xdr:rowOff>100528</xdr:rowOff>
    </xdr:from>
    <xdr:to>
      <xdr:col>24</xdr:col>
      <xdr:colOff>470471</xdr:colOff>
      <xdr:row>36</xdr:row>
      <xdr:rowOff>0</xdr:rowOff>
    </xdr:to>
    <xdr:grpSp>
      <xdr:nvGrpSpPr>
        <xdr:cNvPr id="3" name="Group 2"/>
        <xdr:cNvGrpSpPr/>
      </xdr:nvGrpSpPr>
      <xdr:grpSpPr>
        <a:xfrm>
          <a:off x="2639359" y="460361"/>
          <a:ext cx="12605445" cy="6016639"/>
          <a:chOff x="1532880" y="459962"/>
          <a:chExt cx="14570498" cy="6369283"/>
        </a:xfrm>
      </xdr:grpSpPr>
      <xdr:grpSp>
        <xdr:nvGrpSpPr>
          <xdr:cNvPr id="60" name="Group 59"/>
          <xdr:cNvGrpSpPr/>
        </xdr:nvGrpSpPr>
        <xdr:grpSpPr>
          <a:xfrm>
            <a:off x="1532880" y="1359619"/>
            <a:ext cx="3722963" cy="5469626"/>
            <a:chOff x="1532880" y="1435100"/>
            <a:chExt cx="3714337" cy="5452534"/>
          </a:xfrm>
        </xdr:grpSpPr>
        <xdr:grpSp>
          <xdr:nvGrpSpPr>
            <xdr:cNvPr id="25" name="Group 24"/>
            <xdr:cNvGrpSpPr/>
          </xdr:nvGrpSpPr>
          <xdr:grpSpPr>
            <a:xfrm>
              <a:off x="1532880" y="4195868"/>
              <a:ext cx="3714337" cy="2691766"/>
              <a:chOff x="1520319" y="4074783"/>
              <a:chExt cx="3556000" cy="2486884"/>
            </a:xfrm>
          </xdr:grpSpPr>
          <xdr:sp macro="" textlink="">
            <xdr:nvSpPr>
              <xdr:cNvPr id="41" name="Rounded Rectangle 40"/>
              <xdr:cNvSpPr/>
            </xdr:nvSpPr>
            <xdr:spPr>
              <a:xfrm>
                <a:off x="1527221" y="4074784"/>
                <a:ext cx="3542196" cy="2486883"/>
              </a:xfrm>
              <a:prstGeom prst="roundRect">
                <a:avLst>
                  <a:gd name="adj" fmla="val 1208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38" name="Chart 37"/>
              <xdr:cNvGraphicFramePr>
                <a:graphicFrameLocks/>
              </xdr:cNvGraphicFramePr>
            </xdr:nvGraphicFramePr>
            <xdr:xfrm>
              <a:off x="1520319" y="4074783"/>
              <a:ext cx="3556000" cy="2455135"/>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9" name="Group 58"/>
            <xdr:cNvGrpSpPr/>
          </xdr:nvGrpSpPr>
          <xdr:grpSpPr>
            <a:xfrm>
              <a:off x="1541325" y="1435100"/>
              <a:ext cx="3679612" cy="2693475"/>
              <a:chOff x="1541325" y="1435100"/>
              <a:chExt cx="3679612" cy="2693475"/>
            </a:xfrm>
          </xdr:grpSpPr>
          <xdr:sp macro="" textlink="">
            <xdr:nvSpPr>
              <xdr:cNvPr id="27" name="Rounded Rectangle 26"/>
              <xdr:cNvSpPr/>
            </xdr:nvSpPr>
            <xdr:spPr>
              <a:xfrm>
                <a:off x="1559158" y="1444032"/>
                <a:ext cx="3661779" cy="2684543"/>
              </a:xfrm>
              <a:prstGeom prst="roundRect">
                <a:avLst>
                  <a:gd name="adj" fmla="val 1034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39" name="Chart 38"/>
              <xdr:cNvGraphicFramePr>
                <a:graphicFrameLocks/>
              </xdr:cNvGraphicFramePr>
            </xdr:nvGraphicFramePr>
            <xdr:xfrm>
              <a:off x="1541325" y="1435100"/>
              <a:ext cx="3646645" cy="2631461"/>
            </xdr:xfrm>
            <a:graphic>
              <a:graphicData uri="http://schemas.openxmlformats.org/drawingml/2006/chart">
                <c:chart xmlns:c="http://schemas.openxmlformats.org/drawingml/2006/chart" xmlns:r="http://schemas.openxmlformats.org/officeDocument/2006/relationships" r:id="rId2"/>
              </a:graphicData>
            </a:graphic>
          </xdr:graphicFrame>
        </xdr:grpSp>
      </xdr:grpSp>
      <xdr:grpSp>
        <xdr:nvGrpSpPr>
          <xdr:cNvPr id="23" name="Group 22"/>
          <xdr:cNvGrpSpPr/>
        </xdr:nvGrpSpPr>
        <xdr:grpSpPr>
          <a:xfrm>
            <a:off x="2365290" y="459962"/>
            <a:ext cx="2032743" cy="805386"/>
            <a:chOff x="1639460" y="460940"/>
            <a:chExt cx="2039692" cy="806385"/>
          </a:xfrm>
        </xdr:grpSpPr>
        <xdr:sp macro="" textlink="">
          <xdr:nvSpPr>
            <xdr:cNvPr id="20" name="Rounded Rectangle 19"/>
            <xdr:cNvSpPr/>
          </xdr:nvSpPr>
          <xdr:spPr>
            <a:xfrm>
              <a:off x="1639460" y="482107"/>
              <a:ext cx="2039692" cy="785218"/>
            </a:xfrm>
            <a:prstGeom prst="roundRect">
              <a:avLst>
                <a:gd name="adj" fmla="val 15286"/>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Data Support'!B5">
          <xdr:nvSpPr>
            <xdr:cNvPr id="21" name="TextBox 20"/>
            <xdr:cNvSpPr txBox="1"/>
          </xdr:nvSpPr>
          <xdr:spPr>
            <a:xfrm>
              <a:off x="1653120" y="916186"/>
              <a:ext cx="2012373" cy="331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C110EA4-D50F-4D44-B0FA-B3E2D2BC716E}" type="TxLink">
                <a:rPr lang="en-US" sz="1100" b="0" i="0" u="none" strike="noStrike">
                  <a:solidFill>
                    <a:srgbClr val="000000"/>
                  </a:solidFill>
                  <a:latin typeface="Calibri"/>
                  <a:ea typeface="Calibri"/>
                  <a:cs typeface="Calibri"/>
                </a:rPr>
                <a:pPr algn="ctr"/>
                <a:t>No. Customer</a:t>
              </a:fld>
              <a:endParaRPr lang="en-US" sz="1050">
                <a:solidFill>
                  <a:schemeClr val="bg2">
                    <a:lumMod val="75000"/>
                  </a:schemeClr>
                </a:solidFill>
                <a:latin typeface="Segoe UI" panose="020B0502040204020203" pitchFamily="34" charset="0"/>
                <a:cs typeface="Segoe UI" panose="020B0502040204020203" pitchFamily="34" charset="0"/>
              </a:endParaRPr>
            </a:p>
          </xdr:txBody>
        </xdr:sp>
        <xdr:sp macro="" textlink="'Data Support'!B6">
          <xdr:nvSpPr>
            <xdr:cNvPr id="51" name="TextBox 50"/>
            <xdr:cNvSpPr txBox="1"/>
          </xdr:nvSpPr>
          <xdr:spPr>
            <a:xfrm>
              <a:off x="1653120" y="460940"/>
              <a:ext cx="2012373" cy="491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2D5A5C4-B8D1-411F-B3D0-35A505BBAF3A}"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483</a:t>
              </a:fld>
              <a:endParaRPr lang="en-US" sz="2400" b="1">
                <a:solidFill>
                  <a:schemeClr val="bg2">
                    <a:lumMod val="75000"/>
                  </a:schemeClr>
                </a:solidFill>
                <a:latin typeface="Segoe UI" panose="020B0502040204020203" pitchFamily="34" charset="0"/>
                <a:cs typeface="Segoe UI" panose="020B0502040204020203" pitchFamily="34" charset="0"/>
              </a:endParaRPr>
            </a:p>
          </xdr:txBody>
        </xdr:sp>
      </xdr:grpSp>
      <xdr:grpSp>
        <xdr:nvGrpSpPr>
          <xdr:cNvPr id="58" name="Group 57"/>
          <xdr:cNvGrpSpPr/>
        </xdr:nvGrpSpPr>
        <xdr:grpSpPr>
          <a:xfrm>
            <a:off x="5407800" y="459962"/>
            <a:ext cx="10695578" cy="6369283"/>
            <a:chOff x="5399174" y="481528"/>
            <a:chExt cx="10669698" cy="6516172"/>
          </a:xfrm>
        </xdr:grpSpPr>
        <xdr:grpSp>
          <xdr:nvGrpSpPr>
            <xdr:cNvPr id="56" name="Group 55"/>
            <xdr:cNvGrpSpPr/>
          </xdr:nvGrpSpPr>
          <xdr:grpSpPr>
            <a:xfrm>
              <a:off x="5399174" y="481528"/>
              <a:ext cx="10669304" cy="3162793"/>
              <a:chOff x="5399174" y="481528"/>
              <a:chExt cx="10669304" cy="3162793"/>
            </a:xfrm>
          </xdr:grpSpPr>
          <xdr:grpSp>
            <xdr:nvGrpSpPr>
              <xdr:cNvPr id="28" name="Group 27"/>
              <xdr:cNvGrpSpPr/>
            </xdr:nvGrpSpPr>
            <xdr:grpSpPr>
              <a:xfrm>
                <a:off x="5399174" y="481528"/>
                <a:ext cx="5281526" cy="3162793"/>
                <a:chOff x="5246774" y="405907"/>
                <a:chExt cx="5281526" cy="3162793"/>
              </a:xfrm>
            </xdr:grpSpPr>
            <xdr:sp macro="" textlink="">
              <xdr:nvSpPr>
                <xdr:cNvPr id="43" name="Rounded Rectangle 42"/>
                <xdr:cNvSpPr/>
              </xdr:nvSpPr>
              <xdr:spPr>
                <a:xfrm>
                  <a:off x="5246774" y="463749"/>
                  <a:ext cx="5281526" cy="3104951"/>
                </a:xfrm>
                <a:prstGeom prst="roundRect">
                  <a:avLst>
                    <a:gd name="adj" fmla="val 1126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40" name="Chart 39"/>
                <xdr:cNvGraphicFramePr>
                  <a:graphicFrameLocks/>
                </xdr:cNvGraphicFramePr>
              </xdr:nvGraphicFramePr>
              <xdr:xfrm>
                <a:off x="5298632" y="405907"/>
                <a:ext cx="5177810" cy="3124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30" name="Group 29"/>
              <xdr:cNvGrpSpPr/>
            </xdr:nvGrpSpPr>
            <xdr:grpSpPr>
              <a:xfrm>
                <a:off x="10843217" y="539370"/>
                <a:ext cx="5225261" cy="3100945"/>
                <a:chOff x="10852939" y="576891"/>
                <a:chExt cx="5225261" cy="3100945"/>
              </a:xfrm>
            </xdr:grpSpPr>
            <xdr:sp macro="" textlink="">
              <xdr:nvSpPr>
                <xdr:cNvPr id="29" name="Rounded Rectangle 28"/>
                <xdr:cNvSpPr/>
              </xdr:nvSpPr>
              <xdr:spPr>
                <a:xfrm>
                  <a:off x="10852939" y="576891"/>
                  <a:ext cx="5225261" cy="3100945"/>
                </a:xfrm>
                <a:prstGeom prst="roundRect">
                  <a:avLst>
                    <a:gd name="adj" fmla="val 1015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Segoe UI" panose="020B0502040204020203" pitchFamily="34" charset="0"/>
                      <a:cs typeface="Segoe UI" panose="020B0502040204020203" pitchFamily="34" charset="0"/>
                    </a:rPr>
                    <a:t> </a:t>
                  </a:r>
                </a:p>
              </xdr:txBody>
            </xdr:sp>
            <xdr:graphicFrame macro="">
              <xdr:nvGraphicFramePr>
                <xdr:cNvPr id="47" name="Chart 46"/>
                <xdr:cNvGraphicFramePr>
                  <a:graphicFrameLocks/>
                </xdr:cNvGraphicFramePr>
              </xdr:nvGraphicFramePr>
              <xdr:xfrm>
                <a:off x="10877945" y="617766"/>
                <a:ext cx="5175248" cy="3025975"/>
              </xdr:xfrm>
              <a:graphic>
                <a:graphicData uri="http://schemas.openxmlformats.org/drawingml/2006/chart">
                  <c:chart xmlns:c="http://schemas.openxmlformats.org/drawingml/2006/chart" xmlns:r="http://schemas.openxmlformats.org/officeDocument/2006/relationships" r:id="rId4"/>
                </a:graphicData>
              </a:graphic>
            </xdr:graphicFrame>
          </xdr:grpSp>
        </xdr:grpSp>
        <xdr:grpSp>
          <xdr:nvGrpSpPr>
            <xdr:cNvPr id="57" name="Group 56"/>
            <xdr:cNvGrpSpPr/>
          </xdr:nvGrpSpPr>
          <xdr:grpSpPr>
            <a:xfrm>
              <a:off x="5417339" y="3827399"/>
              <a:ext cx="10651533" cy="3170301"/>
              <a:chOff x="5417339" y="3827399"/>
              <a:chExt cx="10651533" cy="3170301"/>
            </a:xfrm>
          </xdr:grpSpPr>
          <xdr:grpSp>
            <xdr:nvGrpSpPr>
              <xdr:cNvPr id="54" name="Group 53"/>
              <xdr:cNvGrpSpPr/>
            </xdr:nvGrpSpPr>
            <xdr:grpSpPr>
              <a:xfrm>
                <a:off x="5417339" y="3827399"/>
                <a:ext cx="5225261" cy="3170301"/>
                <a:chOff x="5417339" y="3827399"/>
                <a:chExt cx="5225261" cy="3170301"/>
              </a:xfrm>
            </xdr:grpSpPr>
            <xdr:sp macro="" textlink="">
              <xdr:nvSpPr>
                <xdr:cNvPr id="52" name="Rounded Rectangle 51"/>
                <xdr:cNvSpPr/>
              </xdr:nvSpPr>
              <xdr:spPr>
                <a:xfrm>
                  <a:off x="5417339" y="3827399"/>
                  <a:ext cx="5225261" cy="3170301"/>
                </a:xfrm>
                <a:prstGeom prst="roundRect">
                  <a:avLst>
                    <a:gd name="adj" fmla="val 1015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Segoe UI" panose="020B0502040204020203" pitchFamily="34" charset="0"/>
                      <a:cs typeface="Segoe UI" panose="020B0502040204020203" pitchFamily="34" charset="0"/>
                    </a:rPr>
                    <a:t> </a:t>
                  </a:r>
                </a:p>
              </xdr:txBody>
            </xdr:sp>
            <xdr:graphicFrame macro="">
              <xdr:nvGraphicFramePr>
                <xdr:cNvPr id="50" name="Chart 49"/>
                <xdr:cNvGraphicFramePr>
                  <a:graphicFrameLocks/>
                </xdr:cNvGraphicFramePr>
              </xdr:nvGraphicFramePr>
              <xdr:xfrm>
                <a:off x="5443403" y="3846855"/>
                <a:ext cx="5173133" cy="3128434"/>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55" name="Group 54"/>
              <xdr:cNvGrpSpPr/>
            </xdr:nvGrpSpPr>
            <xdr:grpSpPr>
              <a:xfrm>
                <a:off x="10842823" y="3827399"/>
                <a:ext cx="5226049" cy="3147890"/>
                <a:chOff x="10973195" y="3814699"/>
                <a:chExt cx="5226049" cy="3147890"/>
              </a:xfrm>
            </xdr:grpSpPr>
            <xdr:sp macro="" textlink="">
              <xdr:nvSpPr>
                <xdr:cNvPr id="53" name="Rounded Rectangle 52"/>
                <xdr:cNvSpPr/>
              </xdr:nvSpPr>
              <xdr:spPr>
                <a:xfrm>
                  <a:off x="10973589" y="3814699"/>
                  <a:ext cx="5225261" cy="3147890"/>
                </a:xfrm>
                <a:prstGeom prst="roundRect">
                  <a:avLst>
                    <a:gd name="adj" fmla="val 10157"/>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Segoe UI" panose="020B0502040204020203" pitchFamily="34" charset="0"/>
                      <a:cs typeface="Segoe UI" panose="020B0502040204020203" pitchFamily="34" charset="0"/>
                    </a:rPr>
                    <a:t> </a:t>
                  </a:r>
                </a:p>
              </xdr:txBody>
            </xdr:sp>
            <mc:AlternateContent xmlns:mc="http://schemas.openxmlformats.org/markup-compatibility/2006">
              <mc:Choice xmlns:cx="http://schemas.microsoft.com/office/drawing/2014/chartex" Requires="cx">
                <xdr:graphicFrame macro="">
                  <xdr:nvGraphicFramePr>
                    <xdr:cNvPr id="46" name="Chart 45"/>
                    <xdr:cNvGraphicFramePr/>
                  </xdr:nvGraphicFramePr>
                  <xdr:xfrm>
                    <a:off x="10973195" y="3814699"/>
                    <a:ext cx="5226049" cy="3103034"/>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grpSp>
    </xdr:grpSp>
    <xdr:clientData/>
  </xdr:twoCellAnchor>
  <xdr:twoCellAnchor>
    <xdr:from>
      <xdr:col>0</xdr:col>
      <xdr:colOff>9414</xdr:colOff>
      <xdr:row>0</xdr:row>
      <xdr:rowOff>130593</xdr:rowOff>
    </xdr:from>
    <xdr:to>
      <xdr:col>29</xdr:col>
      <xdr:colOff>139257</xdr:colOff>
      <xdr:row>36</xdr:row>
      <xdr:rowOff>0</xdr:rowOff>
    </xdr:to>
    <xdr:grpSp>
      <xdr:nvGrpSpPr>
        <xdr:cNvPr id="5" name="Group 4"/>
        <xdr:cNvGrpSpPr/>
      </xdr:nvGrpSpPr>
      <xdr:grpSpPr>
        <a:xfrm>
          <a:off x="9414" y="130593"/>
          <a:ext cx="17973343" cy="6346407"/>
          <a:chOff x="9414" y="130593"/>
          <a:chExt cx="17973343" cy="6346407"/>
        </a:xfrm>
      </xdr:grpSpPr>
      <xdr:grpSp>
        <xdr:nvGrpSpPr>
          <xdr:cNvPr id="4" name="Group 3"/>
          <xdr:cNvGrpSpPr/>
        </xdr:nvGrpSpPr>
        <xdr:grpSpPr>
          <a:xfrm>
            <a:off x="9414" y="130593"/>
            <a:ext cx="17973343" cy="6346407"/>
            <a:chOff x="9414" y="130593"/>
            <a:chExt cx="17973343" cy="6166490"/>
          </a:xfrm>
        </xdr:grpSpPr>
        <xdr:sp macro="" textlink="">
          <xdr:nvSpPr>
            <xdr:cNvPr id="68" name="Rectangle 67"/>
            <xdr:cNvSpPr/>
          </xdr:nvSpPr>
          <xdr:spPr>
            <a:xfrm>
              <a:off x="2527681" y="130593"/>
              <a:ext cx="5443987" cy="39961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800">
                  <a:solidFill>
                    <a:schemeClr val="bg2">
                      <a:lumMod val="25000"/>
                    </a:schemeClr>
                  </a:solidFill>
                  <a:latin typeface="Segoe UI Black" panose="020B0A02040204020203" pitchFamily="34" charset="0"/>
                  <a:ea typeface="Segoe UI Black" panose="020B0A02040204020203" pitchFamily="34" charset="0"/>
                </a:rPr>
                <a:t>Booking Performance </a:t>
              </a:r>
              <a:r>
                <a:rPr lang="vi-VN" sz="1800">
                  <a:latin typeface="Segoe UI Black" panose="020B0A02040204020203" pitchFamily="34" charset="0"/>
                  <a:ea typeface="Segoe UI Black" panose="020B0A02040204020203" pitchFamily="34" charset="0"/>
                </a:rPr>
                <a:t>| </a:t>
              </a:r>
              <a:r>
                <a:rPr lang="vi-VN" sz="1800">
                  <a:solidFill>
                    <a:srgbClr val="C5B358"/>
                  </a:solidFill>
                  <a:latin typeface="Segoe UI Black" panose="020B0A02040204020203" pitchFamily="34" charset="0"/>
                  <a:ea typeface="Segoe UI Black" panose="020B0A02040204020203" pitchFamily="34" charset="0"/>
                </a:rPr>
                <a:t>Channel Distribution</a:t>
              </a:r>
              <a:endParaRPr lang="en-US" sz="1800">
                <a:solidFill>
                  <a:srgbClr val="C5B358"/>
                </a:solidFill>
                <a:latin typeface="Segoe UI Black" panose="020B0A02040204020203" pitchFamily="34" charset="0"/>
                <a:ea typeface="Segoe UI Black" panose="020B0A02040204020203" pitchFamily="34" charset="0"/>
              </a:endParaRPr>
            </a:p>
          </xdr:txBody>
        </xdr:sp>
        <xdr:grpSp>
          <xdr:nvGrpSpPr>
            <xdr:cNvPr id="69" name="Group 68"/>
            <xdr:cNvGrpSpPr/>
          </xdr:nvGrpSpPr>
          <xdr:grpSpPr>
            <a:xfrm>
              <a:off x="9414" y="130593"/>
              <a:ext cx="2412498" cy="6166490"/>
              <a:chOff x="45357" y="116416"/>
              <a:chExt cx="2393043" cy="6512984"/>
            </a:xfrm>
          </xdr:grpSpPr>
          <xdr:grpSp>
            <xdr:nvGrpSpPr>
              <xdr:cNvPr id="76" name="Group 75"/>
              <xdr:cNvGrpSpPr/>
            </xdr:nvGrpSpPr>
            <xdr:grpSpPr>
              <a:xfrm>
                <a:off x="45357" y="116416"/>
                <a:ext cx="2393043" cy="6512984"/>
                <a:chOff x="45357" y="48739"/>
                <a:chExt cx="2393043" cy="6487584"/>
              </a:xfrm>
            </xdr:grpSpPr>
            <xdr:sp macro="" textlink="">
              <xdr:nvSpPr>
                <xdr:cNvPr id="83" name="Rounded Rectangle 82"/>
                <xdr:cNvSpPr/>
              </xdr:nvSpPr>
              <xdr:spPr>
                <a:xfrm>
                  <a:off x="45357" y="48739"/>
                  <a:ext cx="2393043" cy="6487584"/>
                </a:xfrm>
                <a:prstGeom prst="roundRect">
                  <a:avLst>
                    <a:gd name="adj" fmla="val 8944"/>
                  </a:avLst>
                </a:prstGeom>
                <a:solidFill>
                  <a:srgbClr val="C5B358"/>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pic>
              <xdr:nvPicPr>
                <xdr:cNvPr id="84" name="Picture 8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0428" y="161532"/>
                  <a:ext cx="1342900" cy="464292"/>
                </a:xfrm>
                <a:prstGeom prst="rect">
                  <a:avLst/>
                </a:prstGeom>
              </xdr:spPr>
            </xdr:pic>
          </xdr:grpSp>
          <xdr:grpSp>
            <xdr:nvGrpSpPr>
              <xdr:cNvPr id="78" name="Group 77"/>
              <xdr:cNvGrpSpPr/>
            </xdr:nvGrpSpPr>
            <xdr:grpSpPr>
              <a:xfrm>
                <a:off x="240610" y="2947677"/>
                <a:ext cx="2002536" cy="2860458"/>
                <a:chOff x="114300" y="1460500"/>
                <a:chExt cx="1295400" cy="1866900"/>
              </a:xfrm>
              <a:effectLst>
                <a:outerShdw blurRad="63500" sx="102000" sy="102000" algn="ctr" rotWithShape="0">
                  <a:prstClr val="black">
                    <a:alpha val="40000"/>
                  </a:prstClr>
                </a:outerShdw>
              </a:effectLst>
            </xdr:grpSpPr>
            <xdr:sp macro="" textlink="">
              <xdr:nvSpPr>
                <xdr:cNvPr id="80" name="Rounded Rectangle 79">
                  <a:hlinkClick xmlns:r="http://schemas.openxmlformats.org/officeDocument/2006/relationships" r:id="rId8"/>
                </xdr:cNvPr>
                <xdr:cNvSpPr/>
              </xdr:nvSpPr>
              <xdr:spPr>
                <a:xfrm>
                  <a:off x="114300" y="1460500"/>
                  <a:ext cx="1295400" cy="520700"/>
                </a:xfrm>
                <a:prstGeom prst="roundRect">
                  <a:avLst/>
                </a:prstGeom>
                <a:solidFill>
                  <a:srgbClr val="C5B358"/>
                </a:solidFill>
                <a:ln>
                  <a:noFill/>
                </a:ln>
                <a:effectLst>
                  <a:outerShdw blurRad="63500" sx="102000" sy="102000" algn="ctr"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vi-VN" sz="1300" b="1">
                      <a:latin typeface="Segoe UI" panose="020B0502040204020203" pitchFamily="34" charset="0"/>
                      <a:cs typeface="Segoe UI" panose="020B0502040204020203" pitchFamily="34" charset="0"/>
                    </a:rPr>
                    <a:t>Channel</a:t>
                  </a:r>
                  <a:r>
                    <a:rPr lang="vi-VN" sz="1300" b="1" baseline="0">
                      <a:latin typeface="Segoe UI" panose="020B0502040204020203" pitchFamily="34" charset="0"/>
                      <a:cs typeface="Segoe UI" panose="020B0502040204020203" pitchFamily="34" charset="0"/>
                    </a:rPr>
                    <a:t> Performance</a:t>
                  </a:r>
                  <a:endParaRPr lang="en-US" sz="1300" b="1">
                    <a:latin typeface="Segoe UI" panose="020B0502040204020203" pitchFamily="34" charset="0"/>
                    <a:cs typeface="Segoe UI" panose="020B0502040204020203" pitchFamily="34" charset="0"/>
                  </a:endParaRPr>
                </a:p>
              </xdr:txBody>
            </xdr:sp>
            <xdr:sp macro="" textlink="">
              <xdr:nvSpPr>
                <xdr:cNvPr id="81" name="Rounded Rectangle 80">
                  <a:hlinkClick xmlns:r="http://schemas.openxmlformats.org/officeDocument/2006/relationships" r:id="rId9"/>
                </xdr:cNvPr>
                <xdr:cNvSpPr/>
              </xdr:nvSpPr>
              <xdr:spPr>
                <a:xfrm>
                  <a:off x="114300" y="2133600"/>
                  <a:ext cx="1295400" cy="520700"/>
                </a:xfrm>
                <a:prstGeom prst="roundRect">
                  <a:avLst/>
                </a:prstGeom>
                <a:solidFill>
                  <a:srgbClr val="C5B358"/>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vi-VN" sz="1300" b="1">
                      <a:solidFill>
                        <a:schemeClr val="bg1"/>
                      </a:solidFill>
                      <a:latin typeface="Segoe UI" panose="020B0502040204020203" pitchFamily="34" charset="0"/>
                      <a:cs typeface="Segoe UI" panose="020B0502040204020203" pitchFamily="34" charset="0"/>
                    </a:rPr>
                    <a:t>Promo Performance </a:t>
                  </a:r>
                  <a:endParaRPr lang="en-US" sz="1300" b="1">
                    <a:solidFill>
                      <a:schemeClr val="bg1"/>
                    </a:solidFill>
                    <a:latin typeface="Segoe UI" panose="020B0502040204020203" pitchFamily="34" charset="0"/>
                    <a:cs typeface="Segoe UI" panose="020B0502040204020203" pitchFamily="34" charset="0"/>
                  </a:endParaRPr>
                </a:p>
              </xdr:txBody>
            </xdr:sp>
            <xdr:sp macro="" textlink="">
              <xdr:nvSpPr>
                <xdr:cNvPr id="82" name="Rounded Rectangle 81">
                  <a:hlinkClick xmlns:r="http://schemas.openxmlformats.org/officeDocument/2006/relationships" r:id="rId10"/>
                </xdr:cNvPr>
                <xdr:cNvSpPr/>
              </xdr:nvSpPr>
              <xdr:spPr>
                <a:xfrm>
                  <a:off x="114300" y="2806700"/>
                  <a:ext cx="1295400" cy="520700"/>
                </a:xfrm>
                <a:prstGeom prst="roundRect">
                  <a:avLst/>
                </a:prstGeom>
                <a:solidFill>
                  <a:schemeClr val="tx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vi-VN" sz="1300" b="1">
                      <a:solidFill>
                        <a:schemeClr val="bg1"/>
                      </a:solidFill>
                      <a:latin typeface="Segoe UI" panose="020B0502040204020203" pitchFamily="34" charset="0"/>
                      <a:cs typeface="Segoe UI" panose="020B0502040204020203" pitchFamily="34" charset="0"/>
                    </a:rPr>
                    <a:t>Customer Insight</a:t>
                  </a:r>
                  <a:endParaRPr lang="en-US" sz="1300" b="1">
                    <a:solidFill>
                      <a:schemeClr val="bg1"/>
                    </a:solidFill>
                    <a:latin typeface="Segoe UI" panose="020B0502040204020203" pitchFamily="34" charset="0"/>
                    <a:cs typeface="Segoe UI" panose="020B0502040204020203" pitchFamily="34" charset="0"/>
                  </a:endParaRPr>
                </a:p>
              </xdr:txBody>
            </xdr:sp>
          </xdr:grpSp>
        </xdr:grpSp>
        <xdr:grpSp>
          <xdr:nvGrpSpPr>
            <xdr:cNvPr id="70" name="Group 69"/>
            <xdr:cNvGrpSpPr/>
          </xdr:nvGrpSpPr>
          <xdr:grpSpPr>
            <a:xfrm>
              <a:off x="15462251" y="130593"/>
              <a:ext cx="2520506" cy="6166490"/>
              <a:chOff x="15849600" y="88900"/>
              <a:chExt cx="2489200" cy="6513192"/>
            </a:xfrm>
          </xdr:grpSpPr>
          <xdr:sp macro="" textlink="">
            <xdr:nvSpPr>
              <xdr:cNvPr id="71" name="Rounded Rectangle 70"/>
              <xdr:cNvSpPr/>
            </xdr:nvSpPr>
            <xdr:spPr>
              <a:xfrm>
                <a:off x="15849600" y="88900"/>
                <a:ext cx="2489200" cy="6510528"/>
              </a:xfrm>
              <a:prstGeom prst="roundRect">
                <a:avLst>
                  <a:gd name="adj" fmla="val 4034"/>
                </a:avLst>
              </a:prstGeom>
              <a:solidFill>
                <a:srgbClr val="C5B358"/>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72" name="Booking Platform 3"/>
                  <xdr:cNvGraphicFramePr/>
                </xdr:nvGraphicFramePr>
                <xdr:xfrm>
                  <a:off x="16008350" y="1342711"/>
                  <a:ext cx="2136140" cy="1241043"/>
                </xdr:xfrm>
                <a:graphic>
                  <a:graphicData uri="http://schemas.microsoft.com/office/drawing/2010/slicer">
                    <sle:slicer xmlns:sle="http://schemas.microsoft.com/office/drawing/2010/slicer" name="Booking Platform 3"/>
                  </a:graphicData>
                </a:graphic>
              </xdr:graphicFrame>
            </mc:Choice>
            <mc:Fallback xmlns="">
              <xdr:sp macro="" textlink="">
                <xdr:nvSpPr>
                  <xdr:cNvPr id="0" name=""/>
                  <xdr:cNvSpPr>
                    <a:spLocks noTextEdit="1"/>
                  </xdr:cNvSpPr>
                </xdr:nvSpPr>
                <xdr:spPr>
                  <a:xfrm>
                    <a:off x="15622998" y="1352297"/>
                    <a:ext cx="2163006" cy="1209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Room Type 3"/>
                  <xdr:cNvGraphicFramePr/>
                </xdr:nvGraphicFramePr>
                <xdr:xfrm>
                  <a:off x="16008350" y="2758064"/>
                  <a:ext cx="2136140" cy="1556352"/>
                </xdr:xfrm>
                <a:graphic>
                  <a:graphicData uri="http://schemas.microsoft.com/office/drawing/2010/slicer">
                    <sle:slicer xmlns:sle="http://schemas.microsoft.com/office/drawing/2010/slicer" name="Room Type 3"/>
                  </a:graphicData>
                </a:graphic>
              </xdr:graphicFrame>
            </mc:Choice>
            <mc:Fallback xmlns="">
              <xdr:sp macro="" textlink="">
                <xdr:nvSpPr>
                  <xdr:cNvPr id="0" name=""/>
                  <xdr:cNvSpPr>
                    <a:spLocks noTextEdit="1"/>
                  </xdr:cNvSpPr>
                </xdr:nvSpPr>
                <xdr:spPr>
                  <a:xfrm>
                    <a:off x="15622998" y="2731407"/>
                    <a:ext cx="2163006" cy="1516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4" name="Loyalty Membership Status 3"/>
                  <xdr:cNvGraphicFramePr/>
                </xdr:nvGraphicFramePr>
                <xdr:xfrm>
                  <a:off x="16008350" y="4321705"/>
                  <a:ext cx="2136140" cy="2280387"/>
                </xdr:xfrm>
                <a:graphic>
                  <a:graphicData uri="http://schemas.microsoft.com/office/drawing/2010/slicer">
                    <sle:slicer xmlns:sle="http://schemas.microsoft.com/office/drawing/2010/slicer" name="Loyalty Membership Status 3"/>
                  </a:graphicData>
                </a:graphic>
              </xdr:graphicFrame>
            </mc:Choice>
            <mc:Fallback xmlns="">
              <xdr:sp macro="" textlink="">
                <xdr:nvSpPr>
                  <xdr:cNvPr id="0" name=""/>
                  <xdr:cNvSpPr>
                    <a:spLocks noTextEdit="1"/>
                  </xdr:cNvSpPr>
                </xdr:nvSpPr>
                <xdr:spPr>
                  <a:xfrm>
                    <a:off x="15622998" y="4255007"/>
                    <a:ext cx="2163006" cy="2221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5" name="Cancellation Status 3"/>
                  <xdr:cNvGraphicFramePr/>
                </xdr:nvGraphicFramePr>
                <xdr:xfrm>
                  <a:off x="16008350" y="241302"/>
                  <a:ext cx="2136140" cy="927099"/>
                </xdr:xfrm>
                <a:graphic>
                  <a:graphicData uri="http://schemas.microsoft.com/office/drawing/2010/slicer">
                    <sle:slicer xmlns:sle="http://schemas.microsoft.com/office/drawing/2010/slicer" name="Cancellation Status 3"/>
                  </a:graphicData>
                </a:graphic>
              </xdr:graphicFrame>
            </mc:Choice>
            <mc:Fallback xmlns="">
              <xdr:sp macro="" textlink="">
                <xdr:nvSpPr>
                  <xdr:cNvPr id="0" name=""/>
                  <xdr:cNvSpPr>
                    <a:spLocks noTextEdit="1"/>
                  </xdr:cNvSpPr>
                </xdr:nvSpPr>
                <xdr:spPr>
                  <a:xfrm>
                    <a:off x="15622998" y="279092"/>
                    <a:ext cx="2163006" cy="903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mc:AlternateContent xmlns:mc="http://schemas.openxmlformats.org/markup-compatibility/2006" xmlns:tsle="http://schemas.microsoft.com/office/drawing/2012/timeslicer">
        <mc:Choice Requires="tsle">
          <xdr:graphicFrame macro="">
            <xdr:nvGraphicFramePr>
              <xdr:cNvPr id="49" name="Booking Date 4"/>
              <xdr:cNvGraphicFramePr/>
            </xdr:nvGraphicFramePr>
            <xdr:xfrm>
              <a:off x="190500" y="1153584"/>
              <a:ext cx="2020824" cy="1181100"/>
            </xdr:xfrm>
            <a:graphic>
              <a:graphicData uri="http://schemas.microsoft.com/office/drawing/2012/timeslicer">
                <tsle:timeslicer name="Booking Date 4"/>
              </a:graphicData>
            </a:graphic>
          </xdr:graphicFrame>
        </mc:Choice>
        <mc:Fallback xmlns="">
          <xdr:sp macro="" textlink="">
            <xdr:nvSpPr>
              <xdr:cNvPr id="0" name=""/>
              <xdr:cNvSpPr>
                <a:spLocks noTextEdit="1"/>
              </xdr:cNvSpPr>
            </xdr:nvSpPr>
            <xdr:spPr>
              <a:xfrm>
                <a:off x="190500" y="1153584"/>
                <a:ext cx="2020824" cy="11811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grpSp>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552450</xdr:colOff>
      <xdr:row>17</xdr:row>
      <xdr:rowOff>120650</xdr:rowOff>
    </xdr:from>
    <xdr:to>
      <xdr:col>3</xdr:col>
      <xdr:colOff>1085850</xdr:colOff>
      <xdr:row>29</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651533</xdr:colOff>
      <xdr:row>34</xdr:row>
      <xdr:rowOff>3284</xdr:rowOff>
    </xdr:from>
    <xdr:to>
      <xdr:col>10</xdr:col>
      <xdr:colOff>1334924</xdr:colOff>
      <xdr:row>43</xdr:row>
      <xdr:rowOff>54083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825500</xdr:colOff>
      <xdr:row>17</xdr:row>
      <xdr:rowOff>146050</xdr:rowOff>
    </xdr:from>
    <xdr:to>
      <xdr:col>13</xdr:col>
      <xdr:colOff>825500</xdr:colOff>
      <xdr:row>36</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9525</xdr:colOff>
      <xdr:row>15</xdr:row>
      <xdr:rowOff>19050</xdr:rowOff>
    </xdr:from>
    <xdr:to>
      <xdr:col>26</xdr:col>
      <xdr:colOff>1162050</xdr:colOff>
      <xdr:row>30</xdr:row>
      <xdr:rowOff>69850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28575</xdr:colOff>
      <xdr:row>51</xdr:row>
      <xdr:rowOff>9525</xdr:rowOff>
    </xdr:from>
    <xdr:to>
      <xdr:col>3</xdr:col>
      <xdr:colOff>673100</xdr:colOff>
      <xdr:row>64</xdr:row>
      <xdr:rowOff>50800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15875</xdr:colOff>
      <xdr:row>51</xdr:row>
      <xdr:rowOff>50800</xdr:rowOff>
    </xdr:from>
    <xdr:to>
      <xdr:col>7</xdr:col>
      <xdr:colOff>533400</xdr:colOff>
      <xdr:row>64</xdr:row>
      <xdr:rowOff>63500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1473200</xdr:colOff>
      <xdr:row>69</xdr:row>
      <xdr:rowOff>12700</xdr:rowOff>
    </xdr:from>
    <xdr:to>
      <xdr:col>11</xdr:col>
      <xdr:colOff>1190625</xdr:colOff>
      <xdr:row>86</xdr:row>
      <xdr:rowOff>15875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67</xdr:row>
      <xdr:rowOff>88900</xdr:rowOff>
    </xdr:from>
    <xdr:to>
      <xdr:col>19</xdr:col>
      <xdr:colOff>1059</xdr:colOff>
      <xdr:row>83</xdr:row>
      <xdr:rowOff>25400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56</xdr:row>
      <xdr:rowOff>52915</xdr:rowOff>
    </xdr:from>
    <xdr:to>
      <xdr:col>24</xdr:col>
      <xdr:colOff>205052</xdr:colOff>
      <xdr:row>71</xdr:row>
      <xdr:rowOff>33865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628650</xdr:colOff>
      <xdr:row>69</xdr:row>
      <xdr:rowOff>41275</xdr:rowOff>
    </xdr:from>
    <xdr:to>
      <xdr:col>29</xdr:col>
      <xdr:colOff>1022350</xdr:colOff>
      <xdr:row>84</xdr:row>
      <xdr:rowOff>22225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63500</xdr:colOff>
      <xdr:row>98</xdr:row>
      <xdr:rowOff>57149</xdr:rowOff>
    </xdr:from>
    <xdr:to>
      <xdr:col>8</xdr:col>
      <xdr:colOff>571499</xdr:colOff>
      <xdr:row>112</xdr:row>
      <xdr:rowOff>69850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466725</xdr:colOff>
      <xdr:row>96</xdr:row>
      <xdr:rowOff>107950</xdr:rowOff>
    </xdr:from>
    <xdr:to>
      <xdr:col>3</xdr:col>
      <xdr:colOff>1212850</xdr:colOff>
      <xdr:row>108</xdr:row>
      <xdr:rowOff>9524</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514350</xdr:colOff>
      <xdr:row>99</xdr:row>
      <xdr:rowOff>66675</xdr:rowOff>
    </xdr:from>
    <xdr:to>
      <xdr:col>16</xdr:col>
      <xdr:colOff>349250</xdr:colOff>
      <xdr:row>114</xdr:row>
      <xdr:rowOff>47625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533400</xdr:colOff>
      <xdr:row>99</xdr:row>
      <xdr:rowOff>79375</xdr:rowOff>
    </xdr:from>
    <xdr:to>
      <xdr:col>22</xdr:col>
      <xdr:colOff>1187449</xdr:colOff>
      <xdr:row>114</xdr:row>
      <xdr:rowOff>60325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371475</xdr:colOff>
      <xdr:row>99</xdr:row>
      <xdr:rowOff>174625</xdr:rowOff>
    </xdr:from>
    <xdr:to>
      <xdr:col>31</xdr:col>
      <xdr:colOff>527050</xdr:colOff>
      <xdr:row>114</xdr:row>
      <xdr:rowOff>155575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263525</xdr:colOff>
      <xdr:row>123</xdr:row>
      <xdr:rowOff>111125</xdr:rowOff>
    </xdr:from>
    <xdr:to>
      <xdr:col>3</xdr:col>
      <xdr:colOff>142875</xdr:colOff>
      <xdr:row>138</xdr:row>
      <xdr:rowOff>92075</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85725</xdr:colOff>
      <xdr:row>123</xdr:row>
      <xdr:rowOff>155575</xdr:rowOff>
    </xdr:from>
    <xdr:to>
      <xdr:col>8</xdr:col>
      <xdr:colOff>612775</xdr:colOff>
      <xdr:row>138</xdr:row>
      <xdr:rowOff>136525</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825500</xdr:colOff>
      <xdr:row>125</xdr:row>
      <xdr:rowOff>41275</xdr:rowOff>
    </xdr:from>
    <xdr:to>
      <xdr:col>15</xdr:col>
      <xdr:colOff>635000</xdr:colOff>
      <xdr:row>140</xdr:row>
      <xdr:rowOff>22225</xdr:rowOff>
    </xdr:to>
    <mc:AlternateContent xmlns:mc="http://schemas.openxmlformats.org/markup-compatibility/2006">
      <mc:Choice xmlns:cx="http://schemas.microsoft.com/office/drawing/2014/chartex" Requires="cx">
        <xdr:graphicFrame macro="">
          <xdr:nvGraphicFramePr>
            <xdr:cNvPr id="9" name="Chart 8"/>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1235075</xdr:colOff>
      <xdr:row>126</xdr:row>
      <xdr:rowOff>142875</xdr:rowOff>
    </xdr:from>
    <xdr:to>
      <xdr:col>22</xdr:col>
      <xdr:colOff>949325</xdr:colOff>
      <xdr:row>141</xdr:row>
      <xdr:rowOff>123825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28</xdr:col>
      <xdr:colOff>714376</xdr:colOff>
      <xdr:row>11</xdr:row>
      <xdr:rowOff>165101</xdr:rowOff>
    </xdr:from>
    <xdr:to>
      <xdr:col>29</xdr:col>
      <xdr:colOff>1790700</xdr:colOff>
      <xdr:row>18</xdr:row>
      <xdr:rowOff>1</xdr:rowOff>
    </xdr:to>
    <mc:AlternateContent xmlns:mc="http://schemas.openxmlformats.org/markup-compatibility/2006" xmlns:a14="http://schemas.microsoft.com/office/drawing/2010/main">
      <mc:Choice Requires="a14">
        <xdr:graphicFrame macro="">
          <xdr:nvGraphicFramePr>
            <xdr:cNvPr id="25" name="Booking Platform"/>
            <xdr:cNvGraphicFramePr/>
          </xdr:nvGraphicFramePr>
          <xdr:xfrm>
            <a:off x="0" y="0"/>
            <a:ext cx="0" cy="0"/>
          </xdr:xfrm>
          <a:graphic>
            <a:graphicData uri="http://schemas.microsoft.com/office/drawing/2010/slicer">
              <sle:slicer xmlns:sle="http://schemas.microsoft.com/office/drawing/2010/slicer" name="Booking Platform"/>
            </a:graphicData>
          </a:graphic>
        </xdr:graphicFrame>
      </mc:Choice>
      <mc:Fallback xmlns="">
        <xdr:sp macro="" textlink="">
          <xdr:nvSpPr>
            <xdr:cNvPr id="0" name=""/>
            <xdr:cNvSpPr>
              <a:spLocks noTextEdit="1"/>
            </xdr:cNvSpPr>
          </xdr:nvSpPr>
          <xdr:spPr>
            <a:xfrm>
              <a:off x="38481001" y="2371726"/>
              <a:ext cx="2489200" cy="126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28</xdr:col>
      <xdr:colOff>1104900</xdr:colOff>
      <xdr:row>18</xdr:row>
      <xdr:rowOff>133350</xdr:rowOff>
    </xdr:from>
    <xdr:to>
      <xdr:col>29</xdr:col>
      <xdr:colOff>1520824</xdr:colOff>
      <xdr:row>31</xdr:row>
      <xdr:rowOff>180975</xdr:rowOff>
    </xdr:to>
    <mc:AlternateContent xmlns:mc="http://schemas.openxmlformats.org/markup-compatibility/2006" xmlns:a14="http://schemas.microsoft.com/office/drawing/2010/main">
      <mc:Choice Requires="a14">
        <xdr:graphicFrame macro="">
          <xdr:nvGraphicFramePr>
            <xdr:cNvPr id="26"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8871525" y="3768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29</xdr:col>
      <xdr:colOff>1660524</xdr:colOff>
      <xdr:row>18</xdr:row>
      <xdr:rowOff>165101</xdr:rowOff>
    </xdr:from>
    <xdr:to>
      <xdr:col>30</xdr:col>
      <xdr:colOff>1857376</xdr:colOff>
      <xdr:row>29</xdr:row>
      <xdr:rowOff>142875</xdr:rowOff>
    </xdr:to>
    <mc:AlternateContent xmlns:mc="http://schemas.openxmlformats.org/markup-compatibility/2006" xmlns:a14="http://schemas.microsoft.com/office/drawing/2010/main">
      <mc:Choice Requires="a14">
        <xdr:graphicFrame macro="">
          <xdr:nvGraphicFramePr>
            <xdr:cNvPr id="27" name="Loyalty Membership Status"/>
            <xdr:cNvGraphicFramePr/>
          </xdr:nvGraphicFramePr>
          <xdr:xfrm>
            <a:off x="0" y="0"/>
            <a:ext cx="0" cy="0"/>
          </xdr:xfrm>
          <a:graphic>
            <a:graphicData uri="http://schemas.microsoft.com/office/drawing/2010/slicer">
              <sle:slicer xmlns:sle="http://schemas.microsoft.com/office/drawing/2010/slicer" name="Loyalty Membership Status"/>
            </a:graphicData>
          </a:graphic>
        </xdr:graphicFrame>
      </mc:Choice>
      <mc:Fallback xmlns="">
        <xdr:sp macro="" textlink="">
          <xdr:nvSpPr>
            <xdr:cNvPr id="0" name=""/>
            <xdr:cNvSpPr>
              <a:spLocks noTextEdit="1"/>
            </xdr:cNvSpPr>
          </xdr:nvSpPr>
          <xdr:spPr>
            <a:xfrm>
              <a:off x="40840024" y="3800476"/>
              <a:ext cx="2244726" cy="2073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29</xdr:col>
      <xdr:colOff>2000250</xdr:colOff>
      <xdr:row>8</xdr:row>
      <xdr:rowOff>158748</xdr:rowOff>
    </xdr:from>
    <xdr:to>
      <xdr:col>31</xdr:col>
      <xdr:colOff>92076</xdr:colOff>
      <xdr:row>15</xdr:row>
      <xdr:rowOff>174624</xdr:rowOff>
    </xdr:to>
    <mc:AlternateContent xmlns:mc="http://schemas.openxmlformats.org/markup-compatibility/2006" xmlns:a14="http://schemas.microsoft.com/office/drawing/2010/main">
      <mc:Choice Requires="a14">
        <xdr:graphicFrame macro="">
          <xdr:nvGraphicFramePr>
            <xdr:cNvPr id="28" name="Room Type"/>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41179750" y="1682748"/>
              <a:ext cx="2251075" cy="1555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31</xdr:col>
      <xdr:colOff>0</xdr:colOff>
      <xdr:row>19</xdr:row>
      <xdr:rowOff>0</xdr:rowOff>
    </xdr:from>
    <xdr:to>
      <xdr:col>34</xdr:col>
      <xdr:colOff>130174</xdr:colOff>
      <xdr:row>32</xdr:row>
      <xdr:rowOff>47625</xdr:rowOff>
    </xdr:to>
    <mc:AlternateContent xmlns:mc="http://schemas.openxmlformats.org/markup-compatibility/2006" xmlns:a14="http://schemas.microsoft.com/office/drawing/2010/main">
      <mc:Choice Requires="a14">
        <xdr:graphicFrame macro="">
          <xdr:nvGraphicFramePr>
            <xdr:cNvPr id="29" name="Cancellation Status"/>
            <xdr:cNvGraphicFramePr/>
          </xdr:nvGraphicFramePr>
          <xdr:xfrm>
            <a:off x="0" y="0"/>
            <a:ext cx="0" cy="0"/>
          </xdr:xfrm>
          <a:graphic>
            <a:graphicData uri="http://schemas.microsoft.com/office/drawing/2010/slicer">
              <sle:slicer xmlns:sle="http://schemas.microsoft.com/office/drawing/2010/slicer" name="Cancellation Status"/>
            </a:graphicData>
          </a:graphic>
        </xdr:graphicFrame>
      </mc:Choice>
      <mc:Fallback xmlns="">
        <xdr:sp macro="" textlink="">
          <xdr:nvSpPr>
            <xdr:cNvPr id="0" name=""/>
            <xdr:cNvSpPr>
              <a:spLocks noTextEdit="1"/>
            </xdr:cNvSpPr>
          </xdr:nvSpPr>
          <xdr:spPr>
            <a:xfrm>
              <a:off x="43338750" y="3825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2241550</xdr:colOff>
      <xdr:row>121</xdr:row>
      <xdr:rowOff>9525</xdr:rowOff>
    </xdr:from>
    <xdr:to>
      <xdr:col>26</xdr:col>
      <xdr:colOff>63147</xdr:colOff>
      <xdr:row>128</xdr:row>
      <xdr:rowOff>47625</xdr:rowOff>
    </xdr:to>
    <mc:AlternateContent xmlns:mc="http://schemas.openxmlformats.org/markup-compatibility/2006" xmlns:tsle="http://schemas.microsoft.com/office/drawing/2012/timeslicer">
      <mc:Choice Requires="tsle">
        <xdr:graphicFrame macro="">
          <xdr:nvGraphicFramePr>
            <xdr:cNvPr id="20" name="Booking Date 3"/>
            <xdr:cNvGraphicFramePr/>
          </xdr:nvGraphicFramePr>
          <xdr:xfrm>
            <a:off x="0" y="0"/>
            <a:ext cx="0" cy="0"/>
          </xdr:xfrm>
          <a:graphic>
            <a:graphicData uri="http://schemas.microsoft.com/office/drawing/2012/timeslicer">
              <tsle:timeslicer name="Booking Date 3"/>
            </a:graphicData>
          </a:graphic>
        </xdr:graphicFrame>
      </mc:Choice>
      <mc:Fallback xmlns="">
        <xdr:sp macro="" textlink="">
          <xdr:nvSpPr>
            <xdr:cNvPr id="0" name=""/>
            <xdr:cNvSpPr>
              <a:spLocks noTextEdit="1"/>
            </xdr:cNvSpPr>
          </xdr:nvSpPr>
          <xdr:spPr>
            <a:xfrm>
              <a:off x="36722050" y="23266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PTS" refreshedDate="46146.623960648147" createdVersion="6" refreshedVersion="6" minRefreshableVersion="3" recordCount="500">
  <cacheSource type="worksheet">
    <worksheetSource name="Booking_Data"/>
  </cacheSource>
  <cacheFields count="20">
    <cacheField name="Booking ID" numFmtId="0">
      <sharedItems/>
    </cacheField>
    <cacheField name="Customer ID" numFmtId="0">
      <sharedItems/>
    </cacheField>
    <cacheField name="Booking Date" numFmtId="14">
      <sharedItems containsSemiMixedTypes="0" containsNonDate="0" containsDate="1" containsString="0" minDate="2024-01-01T00:00:00" maxDate="2024-04-0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fieldGroup par="19" base="2">
        <rangePr groupBy="days" startDate="2024-01-01T00:00:00" endDate="2024-04-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2024"/>
        </groupItems>
      </fieldGroup>
    </cacheField>
    <cacheField name="Check-in Date" numFmtId="14">
      <sharedItems containsSemiMixedTypes="0" containsNonDate="0" containsDate="1" containsString="0" minDate="2024-01-05T00:00:00" maxDate="2024-05-01T00:00:00"/>
    </cacheField>
    <cacheField name="Check-out Date" numFmtId="14">
      <sharedItems containsSemiMixedTypes="0" containsNonDate="0" containsDate="1" containsString="0" minDate="2024-01-07T00:00:00" maxDate="2024-05-06T00:00:00"/>
    </cacheField>
    <cacheField name="Week of Month" numFmtId="0">
      <sharedItems containsSemiMixedTypes="0" containsString="0" containsNumber="1" containsInteger="1" minValue="1" maxValue="6" count="6">
        <n v="1"/>
        <n v="2"/>
        <n v="3"/>
        <n v="4"/>
        <n v="5"/>
        <n v="6"/>
      </sharedItems>
    </cacheField>
    <cacheField name="Day of Week" numFmtId="0">
      <sharedItems count="7">
        <s v="Monday"/>
        <s v="Tuesday"/>
        <s v="Wednesday"/>
        <s v="Thursday"/>
        <s v="Friday"/>
        <s v="Saturday"/>
        <s v="Sunday"/>
      </sharedItems>
    </cacheField>
    <cacheField name="Name of Month" numFmtId="0">
      <sharedItems/>
    </cacheField>
    <cacheField name="Booking Platform" numFmtId="0">
      <sharedItems count="3">
        <s v="Mobile App"/>
        <s v="Third-Party OTA"/>
        <s v="Website"/>
      </sharedItems>
    </cacheField>
    <cacheField name="Payment Method" numFmtId="0">
      <sharedItems count="4">
        <s v="Credit Card"/>
        <s v="Points Redemption"/>
        <s v="PayPal"/>
        <s v="Bank Transfer"/>
      </sharedItems>
    </cacheField>
    <cacheField name="Loyalty Membership Status" numFmtId="0">
      <sharedItems count="6">
        <s v="Platinum"/>
        <s v="Titanium"/>
        <s v="Silver"/>
        <s v="Ambassador"/>
        <s v="Gold"/>
        <s v="Non-Member"/>
      </sharedItems>
    </cacheField>
    <cacheField name="Room Type" numFmtId="0">
      <sharedItems count="4">
        <s v="Suite"/>
        <s v="Deluxe"/>
        <s v="Presidential Suite"/>
        <s v="Standard"/>
      </sharedItems>
    </cacheField>
    <cacheField name="Booking Amount" numFmtId="0">
      <sharedItems containsSemiMixedTypes="0" containsString="0" containsNumber="1" minValue="101.2" maxValue="1498.06"/>
    </cacheField>
    <cacheField name="Lenght Of Stays (LOS)" numFmtId="0">
      <sharedItems containsSemiMixedTypes="0" containsString="0" containsNumber="1" containsInteger="1" minValue="1" maxValue="10"/>
    </cacheField>
    <cacheField name="Discount Applied" numFmtId="0">
      <sharedItems containsSemiMixedTypes="0" containsString="0" containsNumber="1" containsInteger="1" minValue="0" maxValue="25"/>
    </cacheField>
    <cacheField name="Discounted Booking" numFmtId="0">
      <sharedItems/>
    </cacheField>
    <cacheField name="Is Discounted" numFmtId="0">
      <sharedItems containsSemiMixedTypes="0" containsString="0" containsNumber="1" containsInteger="1" minValue="0" maxValue="1"/>
    </cacheField>
    <cacheField name="Cancellation Status" numFmtId="0">
      <sharedItems count="2">
        <s v="Yes"/>
        <s v="No"/>
      </sharedItems>
    </cacheField>
    <cacheField name="Is Cancelled" numFmtId="0">
      <sharedItems containsSemiMixedTypes="0" containsString="0" containsNumber="1" containsInteger="1" minValue="0" maxValue="1"/>
    </cacheField>
    <cacheField name="Months" numFmtId="0" databaseField="0">
      <fieldGroup base="2">
        <rangePr groupBy="months" startDate="2024-01-01T00:00:00" endDate="2024-04-01T00:00:00"/>
        <groupItems count="14">
          <s v="&lt;1/1/2024"/>
          <s v="Jan"/>
          <s v="Feb"/>
          <s v="Mar"/>
          <s v="Apr"/>
          <s v="May"/>
          <s v="Jun"/>
          <s v="Jul"/>
          <s v="Aug"/>
          <s v="Sep"/>
          <s v="Oct"/>
          <s v="Nov"/>
          <s v="Dec"/>
          <s v="&gt;4/1/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APTS" refreshedDate="46146.626266782405" backgroundQuery="1" createdVersion="6" refreshedVersion="6" minRefreshableVersion="3" recordCount="0" supportSubquery="1" supportAdvancedDrill="1">
  <cacheSource type="external" connectionId="1"/>
  <cacheFields count="3">
    <cacheField name="[Measures].[Count of Booking ID]" caption="Count of Booking ID" numFmtId="0" hierarchy="24" level="32767"/>
    <cacheField name="[Booking_Data].[Loyalty Membership Status].[Loyalty Membership Status]" caption="Loyalty Membership Status" numFmtId="0" hierarchy="10" level="1">
      <sharedItems count="6">
        <s v="Ambassador"/>
        <s v="Gold"/>
        <s v="Non-Member"/>
        <s v="Platinum"/>
        <s v="Silver"/>
        <s v="Titanium"/>
      </sharedItems>
    </cacheField>
    <cacheField name="[Booking_Data].[Booking Platform].[Booking Platform]" caption="Booking Platform" numFmtId="0" hierarchy="8" level="1">
      <sharedItems count="3">
        <s v="Mobile App"/>
        <s v="Third-Party OTA"/>
        <s v="Website"/>
      </sharedItems>
    </cacheField>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2" memberValueDatatype="130" unbalanced="0">
      <fieldsUsage count="2">
        <fieldUsage x="-1"/>
        <fieldUsage x="2"/>
      </fieldsUsage>
    </cacheHierarchy>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1"/>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PTS" refreshedDate="46146.626267361113" backgroundQuery="1" createdVersion="6" refreshedVersion="6" minRefreshableVersion="3" recordCount="0" supportSubquery="1" supportAdvancedDrill="1">
  <cacheSource type="external" connectionId="1"/>
  <cacheFields count="3">
    <cacheField name="[Measures].[Count of Booking ID]" caption="Count of Booking ID" numFmtId="0" hierarchy="24" level="32767"/>
    <cacheField name="[Booking_Data].[Payment Method].[Payment Method]" caption="Payment Method" numFmtId="0" hierarchy="9" level="1">
      <sharedItems count="1">
        <s v="Points Redemption"/>
      </sharedItems>
    </cacheField>
    <cacheField name="[Booking_Data].[Loyalty Membership Status].[Loyalty Membership Status]" caption="Loyalty Membership Status" numFmtId="0" hierarchy="10" level="1">
      <sharedItems count="6">
        <s v="Ambassador"/>
        <s v="Gold"/>
        <s v="Non-Member"/>
        <s v="Platinum"/>
        <s v="Silver"/>
        <s v="Titanium"/>
      </sharedItems>
    </cacheField>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2" memberValueDatatype="130" unbalanced="0">
      <fieldsUsage count="2">
        <fieldUsage x="-1"/>
        <fieldUsage x="1"/>
      </fieldsUsage>
    </cacheHierarchy>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2"/>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PTS" refreshedDate="46146.626267476851" backgroundQuery="1" createdVersion="6" refreshedVersion="6" minRefreshableVersion="3" recordCount="0" supportSubquery="1" supportAdvancedDrill="1">
  <cacheSource type="external" connectionId="1"/>
  <cacheFields count="1">
    <cacheField name="[Measures].[Sum of Discount Applied]" caption="Sum of Discount Applied" numFmtId="0" hierarchy="31"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0" memberValueDatatype="130" unbalanced="0"/>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PTS" refreshedDate="46146.626267708336" backgroundQuery="1" createdVersion="6" refreshedVersion="6" minRefreshableVersion="3" recordCount="0" supportSubquery="1" supportAdvancedDrill="1">
  <cacheSource type="external" connectionId="1"/>
  <cacheFields count="1">
    <cacheField name="[Measures].[Count of Booking ID]" caption="Count of Booking ID" numFmtId="0" hierarchy="24"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0" memberValueDatatype="130" unbalanced="0"/>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PTS" refreshedDate="46146.626268055552" backgroundQuery="1" createdVersion="6" refreshedVersion="6" minRefreshableVersion="3" recordCount="0" supportSubquery="1" supportAdvancedDrill="1">
  <cacheSource type="external" connectionId="1"/>
  <cacheFields count="2">
    <cacheField name="[Booking_Data].[Loyalty Membership Status].[Loyalty Membership Status]" caption="Loyalty Membership Status" numFmtId="0" hierarchy="10" level="1">
      <sharedItems count="6">
        <s v="Ambassador"/>
        <s v="Gold"/>
        <s v="Non-Member"/>
        <s v="Platinum"/>
        <s v="Silver"/>
        <s v="Titanium"/>
      </sharedItems>
    </cacheField>
    <cacheField name="[Measures].[Distinct Count of Customer ID]" caption="Distinct Count of Customer ID" numFmtId="0" hierarchy="22"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0"/>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PTS" refreshedDate="46146.626268518521" backgroundQuery="1" createdVersion="6" refreshedVersion="6" minRefreshableVersion="3" recordCount="0" supportSubquery="1" supportAdvancedDrill="1">
  <cacheSource type="external" connectionId="1"/>
  <cacheFields count="2">
    <cacheField name="[Booking_Data].[Payment Method].[Payment Method]" caption="Payment Method" numFmtId="0" hierarchy="9" level="1">
      <sharedItems count="4">
        <s v="Bank Transfer"/>
        <s v="Credit Card"/>
        <s v="PayPal"/>
        <s v="Points Redemption"/>
      </sharedItems>
    </cacheField>
    <cacheField name="[Measures].[Count of Booking ID]" caption="Count of Booking ID" numFmtId="0" hierarchy="24"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2" memberValueDatatype="130" unbalanced="0">
      <fieldsUsage count="2">
        <fieldUsage x="-1"/>
        <fieldUsage x="0"/>
      </fieldsUsage>
    </cacheHierarchy>
    <cacheHierarchy uniqueName="[Booking_Data].[Loyalty Membership Status]" caption="Loyalty Membership Status" attribute="1" defaultMemberUniqueName="[Booking_Data].[Loyalty Membership Status].[All]" allUniqueName="[Booking_Data].[Loyalty Membership Status].[All]" dimensionUniqueName="[Booking_Data]" displayFolder="" count="0" memberValueDatatype="130" unbalanced="0"/>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PTS" refreshedDate="46146.626268865744" backgroundQuery="1" createdVersion="6" refreshedVersion="6" minRefreshableVersion="3" recordCount="0" supportSubquery="1" supportAdvancedDrill="1">
  <cacheSource type="external" connectionId="1"/>
  <cacheFields count="3">
    <cacheField name="[Booking_Data].[Room Type].[Room Type]" caption="Room Type" numFmtId="0" hierarchy="11" level="1">
      <sharedItems count="4">
        <s v="Deluxe"/>
        <s v="Presidential Suite"/>
        <s v="Standard"/>
        <s v="Suite"/>
      </sharedItems>
    </cacheField>
    <cacheField name="[Booking_Data].[Loyalty Membership Status].[Loyalty Membership Status]" caption="Loyalty Membership Status" numFmtId="0" hierarchy="10" level="1">
      <sharedItems count="6">
        <s v="Ambassador"/>
        <s v="Gold"/>
        <s v="Non-Member"/>
        <s v="Platinum"/>
        <s v="Silver"/>
        <s v="Titanium"/>
      </sharedItems>
    </cacheField>
    <cacheField name="[Measures].[Count of Booking ID]" caption="Count of Booking ID" numFmtId="0" hierarchy="24"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1"/>
      </fieldsUsage>
    </cacheHierarchy>
    <cacheHierarchy uniqueName="[Booking_Data].[Room Type]" caption="Room Type" attribute="1" defaultMemberUniqueName="[Booking_Data].[Room Type].[All]" allUniqueName="[Booking_Data].[Room Type].[All]" dimensionUniqueName="[Booking_Data]" displayFolder="" count="2" memberValueDatatype="130" unbalanced="0">
      <fieldsUsage count="2">
        <fieldUsage x="-1"/>
        <fieldUsage x="0"/>
      </fieldsUsage>
    </cacheHierarchy>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PTS" refreshedDate="46146.626269444445" backgroundQuery="1" createdVersion="6" refreshedVersion="6" minRefreshableVersion="3" recordCount="0" supportSubquery="1" supportAdvancedDrill="1">
  <cacheSource type="external" connectionId="1"/>
  <cacheFields count="3">
    <cacheField name="[Booking_Data].[Loyalty Membership Status].[Loyalty Membership Status]" caption="Loyalty Membership Status" numFmtId="0" hierarchy="10" level="1">
      <sharedItems count="6">
        <s v="Ambassador"/>
        <s v="Gold"/>
        <s v="Non-Member"/>
        <s v="Platinum"/>
        <s v="Silver"/>
        <s v="Titanium"/>
      </sharedItems>
    </cacheField>
    <cacheField name="[Booking_Data].[Cancellation Status].[Cancellation Status]" caption="Cancellation Status" numFmtId="0" hierarchy="17" level="1">
      <sharedItems count="2">
        <s v="No"/>
        <s v="Yes"/>
      </sharedItems>
    </cacheField>
    <cacheField name="[Measures].[Count of Booking ID]" caption="Count of Booking ID" numFmtId="0" hierarchy="24"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0"/>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2" memberValueDatatype="130" unbalanced="0">
      <fieldsUsage count="2">
        <fieldUsage x="-1"/>
        <fieldUsage x="1"/>
      </fieldsUsage>
    </cacheHierarchy>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PTS" refreshedDate="46146.626269791668" backgroundQuery="1" createdVersion="6" refreshedVersion="6" minRefreshableVersion="3" recordCount="0" supportSubquery="1" supportAdvancedDrill="1">
  <cacheSource type="external" connectionId="1"/>
  <cacheFields count="2">
    <cacheField name="[Booking_Data].[Loyalty Membership Status].[Loyalty Membership Status]" caption="Loyalty Membership Status" numFmtId="0" hierarchy="10" level="1">
      <sharedItems count="6">
        <s v="Ambassador"/>
        <s v="Gold"/>
        <s v="Non-Member"/>
        <s v="Platinum"/>
        <s v="Silver"/>
        <s v="Titanium"/>
      </sharedItems>
    </cacheField>
    <cacheField name="[Measures].[Average of Lenght Of Stays (LOS)]" caption="Average of Lenght Of Stays (LOS)" numFmtId="0" hierarchy="27"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0"/>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PTS" refreshedDate="46146.62627025463" backgroundQuery="1" createdVersion="6" refreshedVersion="6" minRefreshableVersion="3" recordCount="0" supportSubquery="1" supportAdvancedDrill="1">
  <cacheSource type="external" connectionId="1"/>
  <cacheFields count="2">
    <cacheField name="[Booking_Data].[Loyalty Membership Status].[Loyalty Membership Status]" caption="Loyalty Membership Status" numFmtId="0" hierarchy="10" level="1">
      <sharedItems count="6">
        <s v="Ambassador"/>
        <s v="Gold"/>
        <s v="Non-Member"/>
        <s v="Platinum"/>
        <s v="Silver"/>
        <s v="Titanium"/>
      </sharedItems>
    </cacheField>
    <cacheField name="[Measures].[Sum of Lenght Of Stays (LOS)]" caption="Sum of Lenght Of Stays (LOS)" numFmtId="0" hierarchy="26"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0"/>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PTS" refreshedDate="46146.626270601853" backgroundQuery="1" createdVersion="6" refreshedVersion="6" minRefreshableVersion="3" recordCount="0" supportSubquery="1" supportAdvancedDrill="1">
  <cacheSource type="external" connectionId="1"/>
  <cacheFields count="4">
    <cacheField name="[Booking_Data].[Loyalty Membership Status].[Loyalty Membership Status]" caption="Loyalty Membership Status" numFmtId="0" hierarchy="10" level="1">
      <sharedItems count="6">
        <s v="Ambassador"/>
        <s v="Gold"/>
        <s v="Non-Member"/>
        <s v="Platinum"/>
        <s v="Silver"/>
        <s v="Titanium"/>
      </sharedItems>
    </cacheField>
    <cacheField name="[Measures].[Sum of Booking Amount]" caption="Sum of Booking Amount" numFmtId="0" hierarchy="28" level="32767"/>
    <cacheField name="[Booking_Data].[Cancellation Status].[Cancellation Status]" caption="Cancellation Status" numFmtId="0" hierarchy="17" level="1">
      <sharedItems count="1">
        <s v="No"/>
      </sharedItems>
    </cacheField>
    <cacheField name="Dummy0" numFmtId="0" hierarchy="32" level="32767">
      <extLst>
        <ext xmlns:x14="http://schemas.microsoft.com/office/spreadsheetml/2009/9/main" uri="{63CAB8AC-B538-458d-9737-405883B0398D}">
          <x14:cacheField ignore="1"/>
        </ext>
      </extLst>
    </cacheField>
  </cacheFields>
  <cacheHierarchies count="33">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2" memberValueDatatype="130" unbalanced="0">
      <fieldsUsage count="2">
        <fieldUsage x="-1"/>
        <fieldUsage x="0"/>
      </fieldsUsage>
    </cacheHierarchy>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2" memberValueDatatype="130" unbalanced="0">
      <fieldsUsage count="2">
        <fieldUsage x="-1"/>
        <fieldUsage x="2"/>
      </fieldsUsage>
    </cacheHierarchy>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y uniqueName="Dummy0" caption="Booking ID" measure="1" count="0">
      <extLst>
        <ext xmlns:x14="http://schemas.microsoft.com/office/spreadsheetml/2009/9/main" uri="{8CF416AD-EC4C-4aba-99F5-12A058AE0983}">
          <x14:cacheHierarchy ignore="1"/>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PTS" refreshedDate="46146.626270717592" backgroundQuery="1" createdVersion="6" refreshedVersion="6" minRefreshableVersion="3" recordCount="0" supportSubquery="1" supportAdvancedDrill="1">
  <cacheSource type="external" connectionId="1"/>
  <cacheFields count="1">
    <cacheField name="[Measures].[Average of Is Cancelled]" caption="Average of Is Cancelled" numFmtId="0" hierarchy="30"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0" memberValueDatatype="130" unbalanced="0"/>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PTS" refreshedDate="46146.626270833331" backgroundQuery="1" createdVersion="6" refreshedVersion="6" minRefreshableVersion="3" recordCount="0" supportSubquery="1" supportAdvancedDrill="1">
  <cacheSource type="external" connectionId="1"/>
  <cacheFields count="1">
    <cacheField name="[Measures].[Distinct Count of Customer ID]" caption="Distinct Count of Customer ID" numFmtId="0" hierarchy="22" level="32767"/>
  </cacheFields>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0" memberValueDatatype="130" unbalanced="0"/>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dimensions count="2">
    <dimension name="Booking_Data" uniqueName="[Booking_Data]" caption="Booking_Data"/>
    <dimension measure="1" name="Measures" uniqueName="[Measures]" caption="Measures"/>
  </dimensions>
  <measureGroups count="1">
    <measureGroup name="Booking_Data" caption="Booking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PTS" refreshedDate="46146.6239435185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Booking_Data].[Booking ID]" caption="Booking ID" attribute="1" defaultMemberUniqueName="[Booking_Data].[Booking ID].[All]" allUniqueName="[Booking_Data].[Booking ID].[All]" dimensionUniqueName="[Booking_Data]" displayFolder="" count="0" memberValueDatatype="130" unbalanced="0"/>
    <cacheHierarchy uniqueName="[Booking_Data].[Customer ID]" caption="Customer ID" attribute="1" defaultMemberUniqueName="[Booking_Data].[Customer ID].[All]" allUniqueName="[Booking_Data].[Customer ID].[All]" dimensionUniqueName="[Booking_Data]" displayFolder="" count="0" memberValueDatatype="130" unbalanced="0"/>
    <cacheHierarchy uniqueName="[Booking_Data].[Booking Date]" caption="Booking Date" attribute="1" time="1" defaultMemberUniqueName="[Booking_Data].[Booking Date].[All]" allUniqueName="[Booking_Data].[Booking Date].[All]" dimensionUniqueName="[Booking_Data]" displayFolder="" count="2" memberValueDatatype="7" unbalanced="0"/>
    <cacheHierarchy uniqueName="[Booking_Data].[Check-in Date]" caption="Check-in Date" attribute="1" time="1" defaultMemberUniqueName="[Booking_Data].[Check-in Date].[All]" allUniqueName="[Booking_Data].[Check-in Date].[All]" dimensionUniqueName="[Booking_Data]" displayFolder="" count="0" memberValueDatatype="7" unbalanced="0"/>
    <cacheHierarchy uniqueName="[Booking_Data].[Check-out Date]" caption="Check-out Date" attribute="1" time="1" defaultMemberUniqueName="[Booking_Data].[Check-out Date].[All]" allUniqueName="[Booking_Data].[Check-out Date].[All]" dimensionUniqueName="[Booking_Data]" displayFolder="" count="0" memberValueDatatype="7" unbalanced="0"/>
    <cacheHierarchy uniqueName="[Booking_Data].[Week of Month]" caption="Week of Month" attribute="1" defaultMemberUniqueName="[Booking_Data].[Week of Month].[All]" allUniqueName="[Booking_Data].[Week of Month].[All]" dimensionUniqueName="[Booking_Data]" displayFolder="" count="0" memberValueDatatype="20" unbalanced="0"/>
    <cacheHierarchy uniqueName="[Booking_Data].[Day of Week]" caption="Day of Week" attribute="1" defaultMemberUniqueName="[Booking_Data].[Day of Week].[All]" allUniqueName="[Booking_Data].[Day of Week].[All]" dimensionUniqueName="[Booking_Data]" displayFolder="" count="0" memberValueDatatype="130" unbalanced="0"/>
    <cacheHierarchy uniqueName="[Booking_Data].[Name of Month]" caption="Name of Month" attribute="1" defaultMemberUniqueName="[Booking_Data].[Name of Month].[All]" allUniqueName="[Booking_Data].[Name of Month].[All]" dimensionUniqueName="[Booking_Data]" displayFolder="" count="0" memberValueDatatype="130" unbalanced="0"/>
    <cacheHierarchy uniqueName="[Booking_Data].[Booking Platform]" caption="Booking Platform" attribute="1" defaultMemberUniqueName="[Booking_Data].[Booking Platform].[All]" allUniqueName="[Booking_Data].[Booking Platform].[All]" dimensionUniqueName="[Booking_Data]" displayFolder="" count="0" memberValueDatatype="130" unbalanced="0"/>
    <cacheHierarchy uniqueName="[Booking_Data].[Payment Method]" caption="Payment Method" attribute="1" defaultMemberUniqueName="[Booking_Data].[Payment Method].[All]" allUniqueName="[Booking_Data].[Payment Method].[All]" dimensionUniqueName="[Booking_Data]" displayFolder="" count="0" memberValueDatatype="130" unbalanced="0"/>
    <cacheHierarchy uniqueName="[Booking_Data].[Loyalty Membership Status]" caption="Loyalty Membership Status" attribute="1" defaultMemberUniqueName="[Booking_Data].[Loyalty Membership Status].[All]" allUniqueName="[Booking_Data].[Loyalty Membership Status].[All]" dimensionUniqueName="[Booking_Data]" displayFolder="" count="0" memberValueDatatype="130" unbalanced="0"/>
    <cacheHierarchy uniqueName="[Booking_Data].[Room Type]" caption="Room Type" attribute="1" defaultMemberUniqueName="[Booking_Data].[Room Type].[All]" allUniqueName="[Booking_Data].[Room Type].[All]" dimensionUniqueName="[Booking_Data]" displayFolder="" count="0" memberValueDatatype="130" unbalanced="0"/>
    <cacheHierarchy uniqueName="[Booking_Data].[Booking Amount]" caption="Booking Amount" attribute="1" defaultMemberUniqueName="[Booking_Data].[Booking Amount].[All]" allUniqueName="[Booking_Data].[Booking Amount].[All]" dimensionUniqueName="[Booking_Data]" displayFolder="" count="0" memberValueDatatype="5" unbalanced="0"/>
    <cacheHierarchy uniqueName="[Booking_Data].[Lenght Of Stays (LOS)]" caption="Lenght Of Stays (LOS)" attribute="1" defaultMemberUniqueName="[Booking_Data].[Lenght Of Stays (LOS)].[All]" allUniqueName="[Booking_Data].[Lenght Of Stays (LOS)].[All]" dimensionUniqueName="[Booking_Data]" displayFolder="" count="0" memberValueDatatype="20" unbalanced="0"/>
    <cacheHierarchy uniqueName="[Booking_Data].[Discount Applied]" caption="Discount Applied" attribute="1" defaultMemberUniqueName="[Booking_Data].[Discount Applied].[All]" allUniqueName="[Booking_Data].[Discount Applied].[All]" dimensionUniqueName="[Booking_Data]" displayFolder="" count="0" memberValueDatatype="20" unbalanced="0"/>
    <cacheHierarchy uniqueName="[Booking_Data].[Discounted Booking]" caption="Discounted Booking" attribute="1" defaultMemberUniqueName="[Booking_Data].[Discounted Booking].[All]" allUniqueName="[Booking_Data].[Discounted Booking].[All]" dimensionUniqueName="[Booking_Data]" displayFolder="" count="0" memberValueDatatype="130" unbalanced="0"/>
    <cacheHierarchy uniqueName="[Booking_Data].[Is Discounted]" caption="Is Discounted" attribute="1" defaultMemberUniqueName="[Booking_Data].[Is Discounted].[All]" allUniqueName="[Booking_Data].[Is Discounted].[All]" dimensionUniqueName="[Booking_Data]" displayFolder="" count="0" memberValueDatatype="20" unbalanced="0"/>
    <cacheHierarchy uniqueName="[Booking_Data].[Cancellation Status]" caption="Cancellation Status" attribute="1" defaultMemberUniqueName="[Booking_Data].[Cancellation Status].[All]" allUniqueName="[Booking_Data].[Cancellation Status].[All]" dimensionUniqueName="[Booking_Data]" displayFolder="" count="0" memberValueDatatype="130" unbalanced="0"/>
    <cacheHierarchy uniqueName="[Booking_Data].[Is Cancelled]" caption="Is Cancelled" attribute="1" defaultMemberUniqueName="[Booking_Data].[Is Cancelled].[All]" allUniqueName="[Booking_Data].[Is Cancelled].[All]" dimensionUniqueName="[Booking_Data]" displayFolder="" count="0" memberValueDatatype="20" unbalanced="0"/>
    <cacheHierarchy uniqueName="[Measures].[__XL_Count Booking_Data]" caption="__XL_Count Booking_Data" measure="1" displayFolder="" measureGroup="Booking_Data" count="0" hidden="1"/>
    <cacheHierarchy uniqueName="[Measures].[__No measures defined]" caption="__No measures defined" measure="1" displayFolder="" count="0" hidden="1"/>
    <cacheHierarchy uniqueName="[Measures].[Count of Customer ID]" caption="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Booking_Data" count="0" hidden="1">
      <extLst>
        <ext xmlns:x15="http://schemas.microsoft.com/office/spreadsheetml/2010/11/main" uri="{B97F6D7D-B522-45F9-BDA1-12C45D357490}">
          <x15:cacheHierarchy aggregatedColumn="1"/>
        </ext>
      </extLst>
    </cacheHierarchy>
    <cacheHierarchy uniqueName="[Measures].[Count of Payment Method]" caption="Count of Payment Method" measure="1" displayFolder="" measureGroup="Booking_Data" count="0" hidden="1">
      <extLst>
        <ext xmlns:x15="http://schemas.microsoft.com/office/spreadsheetml/2010/11/main" uri="{B97F6D7D-B522-45F9-BDA1-12C45D357490}">
          <x15:cacheHierarchy aggregatedColumn="9"/>
        </ext>
      </extLst>
    </cacheHierarchy>
    <cacheHierarchy uniqueName="[Measures].[Count of Booking ID]" caption="Count of Booking ID" measure="1" displayFolder="" measureGroup="Booking_Data" count="0" hidden="1">
      <extLst>
        <ext xmlns:x15="http://schemas.microsoft.com/office/spreadsheetml/2010/11/main" uri="{B97F6D7D-B522-45F9-BDA1-12C45D357490}">
          <x15:cacheHierarchy aggregatedColumn="0"/>
        </ext>
      </extLst>
    </cacheHierarchy>
    <cacheHierarchy uniqueName="[Measures].[Count of Cancellation Status]" caption="Count of Cancellation Status" measure="1" displayFolder="" measureGroup="Booking_Data" count="0" hidden="1">
      <extLst>
        <ext xmlns:x15="http://schemas.microsoft.com/office/spreadsheetml/2010/11/main" uri="{B97F6D7D-B522-45F9-BDA1-12C45D357490}">
          <x15:cacheHierarchy aggregatedColumn="17"/>
        </ext>
      </extLst>
    </cacheHierarchy>
    <cacheHierarchy uniqueName="[Measures].[Sum of Lenght Of Stays (LOS)]" caption="Sum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Average of Lenght Of Stays (LOS)]" caption="Average of Lenght Of Stays (LOS)" measure="1" displayFolder="" measureGroup="Booking_Data" count="0" hidden="1">
      <extLst>
        <ext xmlns:x15="http://schemas.microsoft.com/office/spreadsheetml/2010/11/main" uri="{B97F6D7D-B522-45F9-BDA1-12C45D357490}">
          <x15:cacheHierarchy aggregatedColumn="13"/>
        </ext>
      </extLst>
    </cacheHierarchy>
    <cacheHierarchy uniqueName="[Measures].[Sum of Booking Amount]" caption="Sum of Booking Amount" measure="1" displayFolder="" measureGroup="Booking_Data" count="0" hidden="1">
      <extLst>
        <ext xmlns:x15="http://schemas.microsoft.com/office/spreadsheetml/2010/11/main" uri="{B97F6D7D-B522-45F9-BDA1-12C45D357490}">
          <x15:cacheHierarchy aggregatedColumn="12"/>
        </ext>
      </extLst>
    </cacheHierarchy>
    <cacheHierarchy uniqueName="[Measures].[Sum of Is Cancelled]" caption="Sum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Average of Is Cancelled]" caption="Average of Is Cancelled" measure="1" displayFolder="" measureGroup="Booking_Data" count="0" hidden="1">
      <extLst>
        <ext xmlns:x15="http://schemas.microsoft.com/office/spreadsheetml/2010/11/main" uri="{B97F6D7D-B522-45F9-BDA1-12C45D357490}">
          <x15:cacheHierarchy aggregatedColumn="18"/>
        </ext>
      </extLst>
    </cacheHierarchy>
    <cacheHierarchy uniqueName="[Measures].[Sum of Discount Applied]" caption="Sum of Discount Applied" measure="1" displayFolder="" measureGroup="Booking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4"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Records1.xml><?xml version="1.0" encoding="utf-8"?>
<pivotCacheRecords xmlns="http://schemas.openxmlformats.org/spreadsheetml/2006/main" xmlns:r="http://schemas.openxmlformats.org/officeDocument/2006/relationships" count="500">
  <r>
    <s v="BK00348"/>
    <s v="CUST4936"/>
    <x v="0"/>
    <d v="2024-01-26T00:00:00"/>
    <d v="2024-01-31T00:00:00"/>
    <x v="0"/>
    <x v="0"/>
    <s v="January"/>
    <x v="0"/>
    <x v="0"/>
    <x v="0"/>
    <x v="0"/>
    <n v="202.33"/>
    <n v="5"/>
    <n v="5"/>
    <s v="Yes"/>
    <n v="1"/>
    <x v="0"/>
    <n v="1"/>
  </r>
  <r>
    <s v="BK00427"/>
    <s v="CUST2047"/>
    <x v="0"/>
    <d v="2024-01-14T00:00:00"/>
    <d v="2024-01-21T00:00:00"/>
    <x v="0"/>
    <x v="0"/>
    <s v="January"/>
    <x v="0"/>
    <x v="1"/>
    <x v="1"/>
    <x v="1"/>
    <n v="1219.04"/>
    <n v="7"/>
    <n v="10"/>
    <s v="Yes"/>
    <n v="1"/>
    <x v="1"/>
    <n v="0"/>
  </r>
  <r>
    <s v="BK00011"/>
    <s v="CUST5878"/>
    <x v="1"/>
    <d v="2024-01-21T00:00:00"/>
    <d v="2024-01-23T00:00:00"/>
    <x v="0"/>
    <x v="1"/>
    <s v="January"/>
    <x v="0"/>
    <x v="0"/>
    <x v="1"/>
    <x v="2"/>
    <n v="427.16"/>
    <n v="2"/>
    <n v="10"/>
    <s v="Yes"/>
    <n v="1"/>
    <x v="1"/>
    <n v="0"/>
  </r>
  <r>
    <s v="BK00026"/>
    <s v="CUST5834"/>
    <x v="1"/>
    <d v="2024-01-28T00:00:00"/>
    <d v="2024-02-06T00:00:00"/>
    <x v="0"/>
    <x v="1"/>
    <s v="January"/>
    <x v="1"/>
    <x v="2"/>
    <x v="2"/>
    <x v="1"/>
    <n v="450.89"/>
    <n v="9"/>
    <n v="20"/>
    <s v="Yes"/>
    <n v="1"/>
    <x v="0"/>
    <n v="1"/>
  </r>
  <r>
    <s v="BK00050"/>
    <s v="CUST1042"/>
    <x v="1"/>
    <d v="2024-01-20T00:00:00"/>
    <d v="2024-01-23T00:00:00"/>
    <x v="0"/>
    <x v="1"/>
    <s v="January"/>
    <x v="2"/>
    <x v="3"/>
    <x v="0"/>
    <x v="3"/>
    <n v="863.59"/>
    <n v="3"/>
    <n v="20"/>
    <s v="Yes"/>
    <n v="1"/>
    <x v="0"/>
    <n v="1"/>
  </r>
  <r>
    <s v="BK00467"/>
    <s v="CUST5145"/>
    <x v="1"/>
    <d v="2024-01-26T00:00:00"/>
    <d v="2024-01-31T00:00:00"/>
    <x v="0"/>
    <x v="1"/>
    <s v="January"/>
    <x v="1"/>
    <x v="1"/>
    <x v="0"/>
    <x v="0"/>
    <n v="162.11000000000001"/>
    <n v="5"/>
    <n v="10"/>
    <s v="Yes"/>
    <n v="1"/>
    <x v="1"/>
    <n v="0"/>
  </r>
  <r>
    <s v="BK00032"/>
    <s v="CUST9253"/>
    <x v="2"/>
    <d v="2024-01-10T00:00:00"/>
    <d v="2024-01-15T00:00:00"/>
    <x v="0"/>
    <x v="2"/>
    <s v="January"/>
    <x v="0"/>
    <x v="3"/>
    <x v="3"/>
    <x v="0"/>
    <n v="905.08"/>
    <n v="5"/>
    <n v="0"/>
    <s v="No"/>
    <n v="0"/>
    <x v="1"/>
    <n v="0"/>
  </r>
  <r>
    <s v="BK00137"/>
    <s v="CUST8770"/>
    <x v="2"/>
    <d v="2024-01-05T00:00:00"/>
    <d v="2024-01-15T00:00:00"/>
    <x v="0"/>
    <x v="2"/>
    <s v="January"/>
    <x v="1"/>
    <x v="1"/>
    <x v="1"/>
    <x v="3"/>
    <n v="576.01"/>
    <n v="10"/>
    <n v="0"/>
    <s v="No"/>
    <n v="0"/>
    <x v="0"/>
    <n v="1"/>
  </r>
  <r>
    <s v="BK00240"/>
    <s v="CUST2990"/>
    <x v="2"/>
    <d v="2024-01-29T00:00:00"/>
    <d v="2024-02-05T00:00:00"/>
    <x v="0"/>
    <x v="2"/>
    <s v="January"/>
    <x v="0"/>
    <x v="3"/>
    <x v="0"/>
    <x v="1"/>
    <n v="135.9"/>
    <n v="7"/>
    <n v="20"/>
    <s v="Yes"/>
    <n v="1"/>
    <x v="0"/>
    <n v="1"/>
  </r>
  <r>
    <s v="BK00014"/>
    <s v="CUST6839"/>
    <x v="3"/>
    <d v="2024-01-31T00:00:00"/>
    <d v="2024-02-06T00:00:00"/>
    <x v="0"/>
    <x v="3"/>
    <s v="January"/>
    <x v="1"/>
    <x v="3"/>
    <x v="4"/>
    <x v="2"/>
    <n v="393"/>
    <n v="6"/>
    <n v="20"/>
    <s v="Yes"/>
    <n v="1"/>
    <x v="0"/>
    <n v="1"/>
  </r>
  <r>
    <s v="BK00138"/>
    <s v="CUST3572"/>
    <x v="3"/>
    <d v="2024-01-05T00:00:00"/>
    <d v="2024-01-07T00:00:00"/>
    <x v="0"/>
    <x v="3"/>
    <s v="January"/>
    <x v="0"/>
    <x v="1"/>
    <x v="4"/>
    <x v="3"/>
    <n v="1074.04"/>
    <n v="2"/>
    <n v="10"/>
    <s v="Yes"/>
    <n v="1"/>
    <x v="1"/>
    <n v="0"/>
  </r>
  <r>
    <s v="BK00204"/>
    <s v="CUST8898"/>
    <x v="3"/>
    <d v="2024-02-02T00:00:00"/>
    <d v="2024-02-10T00:00:00"/>
    <x v="0"/>
    <x v="3"/>
    <s v="January"/>
    <x v="1"/>
    <x v="1"/>
    <x v="1"/>
    <x v="2"/>
    <n v="1335.65"/>
    <n v="8"/>
    <n v="5"/>
    <s v="Yes"/>
    <n v="1"/>
    <x v="1"/>
    <n v="0"/>
  </r>
  <r>
    <s v="BK00235"/>
    <s v="CUST4980"/>
    <x v="3"/>
    <d v="2024-01-06T00:00:00"/>
    <d v="2024-01-07T00:00:00"/>
    <x v="0"/>
    <x v="3"/>
    <s v="January"/>
    <x v="2"/>
    <x v="0"/>
    <x v="3"/>
    <x v="3"/>
    <n v="693.55"/>
    <n v="1"/>
    <n v="10"/>
    <s v="Yes"/>
    <n v="1"/>
    <x v="0"/>
    <n v="1"/>
  </r>
  <r>
    <s v="BK00236"/>
    <s v="CUST8478"/>
    <x v="3"/>
    <d v="2024-01-20T00:00:00"/>
    <d v="2024-01-24T00:00:00"/>
    <x v="0"/>
    <x v="3"/>
    <s v="January"/>
    <x v="0"/>
    <x v="0"/>
    <x v="5"/>
    <x v="0"/>
    <n v="730.06"/>
    <n v="4"/>
    <n v="25"/>
    <s v="Yes"/>
    <n v="1"/>
    <x v="0"/>
    <n v="1"/>
  </r>
  <r>
    <s v="BK00259"/>
    <s v="CUST6748"/>
    <x v="3"/>
    <d v="2024-01-27T00:00:00"/>
    <d v="2024-02-06T00:00:00"/>
    <x v="0"/>
    <x v="3"/>
    <s v="January"/>
    <x v="0"/>
    <x v="1"/>
    <x v="2"/>
    <x v="2"/>
    <n v="1404.11"/>
    <n v="10"/>
    <n v="10"/>
    <s v="Yes"/>
    <n v="1"/>
    <x v="0"/>
    <n v="1"/>
  </r>
  <r>
    <s v="BK00298"/>
    <s v="CUST3918"/>
    <x v="3"/>
    <d v="2024-01-15T00:00:00"/>
    <d v="2024-01-16T00:00:00"/>
    <x v="0"/>
    <x v="3"/>
    <s v="January"/>
    <x v="1"/>
    <x v="1"/>
    <x v="2"/>
    <x v="2"/>
    <n v="1165.72"/>
    <n v="1"/>
    <n v="10"/>
    <s v="Yes"/>
    <n v="1"/>
    <x v="1"/>
    <n v="0"/>
  </r>
  <r>
    <s v="BK00079"/>
    <s v="CUST9465"/>
    <x v="4"/>
    <d v="2024-01-09T00:00:00"/>
    <d v="2024-01-18T00:00:00"/>
    <x v="0"/>
    <x v="4"/>
    <s v="January"/>
    <x v="1"/>
    <x v="0"/>
    <x v="5"/>
    <x v="1"/>
    <n v="1332.97"/>
    <n v="9"/>
    <n v="15"/>
    <s v="Yes"/>
    <n v="1"/>
    <x v="0"/>
    <n v="1"/>
  </r>
  <r>
    <s v="BK00139"/>
    <s v="CUST3056"/>
    <x v="4"/>
    <d v="2024-02-03T00:00:00"/>
    <d v="2024-02-06T00:00:00"/>
    <x v="0"/>
    <x v="4"/>
    <s v="January"/>
    <x v="2"/>
    <x v="0"/>
    <x v="1"/>
    <x v="2"/>
    <n v="1107.73"/>
    <n v="3"/>
    <n v="5"/>
    <s v="Yes"/>
    <n v="1"/>
    <x v="1"/>
    <n v="0"/>
  </r>
  <r>
    <s v="BK00215"/>
    <s v="CUST3658"/>
    <x v="4"/>
    <d v="2024-01-13T00:00:00"/>
    <d v="2024-01-18T00:00:00"/>
    <x v="0"/>
    <x v="4"/>
    <s v="January"/>
    <x v="0"/>
    <x v="0"/>
    <x v="0"/>
    <x v="3"/>
    <n v="799.37"/>
    <n v="5"/>
    <n v="20"/>
    <s v="Yes"/>
    <n v="1"/>
    <x v="0"/>
    <n v="1"/>
  </r>
  <r>
    <s v="BK00257"/>
    <s v="CUST5701"/>
    <x v="4"/>
    <d v="2024-01-28T00:00:00"/>
    <d v="2024-02-07T00:00:00"/>
    <x v="0"/>
    <x v="4"/>
    <s v="January"/>
    <x v="2"/>
    <x v="0"/>
    <x v="4"/>
    <x v="1"/>
    <n v="393.43"/>
    <n v="10"/>
    <n v="5"/>
    <s v="Yes"/>
    <n v="1"/>
    <x v="1"/>
    <n v="0"/>
  </r>
  <r>
    <s v="BK00335"/>
    <s v="CUST4784"/>
    <x v="4"/>
    <d v="2024-01-15T00:00:00"/>
    <d v="2024-01-23T00:00:00"/>
    <x v="0"/>
    <x v="4"/>
    <s v="January"/>
    <x v="2"/>
    <x v="3"/>
    <x v="5"/>
    <x v="2"/>
    <n v="351.6"/>
    <n v="8"/>
    <n v="20"/>
    <s v="Yes"/>
    <n v="1"/>
    <x v="1"/>
    <n v="0"/>
  </r>
  <r>
    <s v="BK00385"/>
    <s v="CUST1811"/>
    <x v="4"/>
    <d v="2024-01-14T00:00:00"/>
    <d v="2024-01-20T00:00:00"/>
    <x v="0"/>
    <x v="4"/>
    <s v="January"/>
    <x v="0"/>
    <x v="0"/>
    <x v="3"/>
    <x v="0"/>
    <n v="700.43"/>
    <n v="6"/>
    <n v="10"/>
    <s v="Yes"/>
    <n v="1"/>
    <x v="1"/>
    <n v="0"/>
  </r>
  <r>
    <s v="BK00395"/>
    <s v="CUST7546"/>
    <x v="4"/>
    <d v="2024-01-10T00:00:00"/>
    <d v="2024-01-16T00:00:00"/>
    <x v="0"/>
    <x v="4"/>
    <s v="January"/>
    <x v="0"/>
    <x v="1"/>
    <x v="1"/>
    <x v="3"/>
    <n v="803.28"/>
    <n v="6"/>
    <n v="10"/>
    <s v="Yes"/>
    <n v="1"/>
    <x v="1"/>
    <n v="0"/>
  </r>
  <r>
    <s v="BK00168"/>
    <s v="CUST4014"/>
    <x v="5"/>
    <d v="2024-01-07T00:00:00"/>
    <d v="2024-01-16T00:00:00"/>
    <x v="0"/>
    <x v="5"/>
    <s v="January"/>
    <x v="2"/>
    <x v="1"/>
    <x v="4"/>
    <x v="1"/>
    <n v="657.19"/>
    <n v="9"/>
    <n v="10"/>
    <s v="Yes"/>
    <n v="1"/>
    <x v="1"/>
    <n v="0"/>
  </r>
  <r>
    <s v="BK00183"/>
    <s v="CUST8817"/>
    <x v="5"/>
    <d v="2024-01-17T00:00:00"/>
    <d v="2024-01-25T00:00:00"/>
    <x v="0"/>
    <x v="5"/>
    <s v="January"/>
    <x v="0"/>
    <x v="2"/>
    <x v="1"/>
    <x v="3"/>
    <n v="893.46"/>
    <n v="8"/>
    <n v="0"/>
    <s v="No"/>
    <n v="0"/>
    <x v="1"/>
    <n v="0"/>
  </r>
  <r>
    <s v="BK00219"/>
    <s v="CUST8163"/>
    <x v="5"/>
    <d v="2024-02-05T00:00:00"/>
    <d v="2024-02-08T00:00:00"/>
    <x v="0"/>
    <x v="5"/>
    <s v="January"/>
    <x v="1"/>
    <x v="1"/>
    <x v="2"/>
    <x v="3"/>
    <n v="1488.66"/>
    <n v="3"/>
    <n v="10"/>
    <s v="Yes"/>
    <n v="1"/>
    <x v="0"/>
    <n v="1"/>
  </r>
  <r>
    <s v="BK00404"/>
    <s v="CUST5642"/>
    <x v="5"/>
    <d v="2024-01-18T00:00:00"/>
    <d v="2024-01-27T00:00:00"/>
    <x v="0"/>
    <x v="5"/>
    <s v="January"/>
    <x v="0"/>
    <x v="3"/>
    <x v="4"/>
    <x v="1"/>
    <n v="898.28"/>
    <n v="9"/>
    <n v="5"/>
    <s v="Yes"/>
    <n v="1"/>
    <x v="0"/>
    <n v="1"/>
  </r>
  <r>
    <s v="BK00172"/>
    <s v="CUST3494"/>
    <x v="6"/>
    <d v="2024-01-15T00:00:00"/>
    <d v="2024-01-24T00:00:00"/>
    <x v="1"/>
    <x v="6"/>
    <s v="January"/>
    <x v="2"/>
    <x v="1"/>
    <x v="0"/>
    <x v="3"/>
    <n v="377.09"/>
    <n v="9"/>
    <n v="25"/>
    <s v="Yes"/>
    <n v="1"/>
    <x v="0"/>
    <n v="1"/>
  </r>
  <r>
    <s v="BK00260"/>
    <s v="CUST3776"/>
    <x v="6"/>
    <d v="2024-01-10T00:00:00"/>
    <d v="2024-01-19T00:00:00"/>
    <x v="1"/>
    <x v="6"/>
    <s v="January"/>
    <x v="2"/>
    <x v="2"/>
    <x v="0"/>
    <x v="1"/>
    <n v="1268.8499999999999"/>
    <n v="9"/>
    <n v="20"/>
    <s v="Yes"/>
    <n v="1"/>
    <x v="0"/>
    <n v="1"/>
  </r>
  <r>
    <s v="BK00341"/>
    <s v="CUST3749"/>
    <x v="6"/>
    <d v="2024-02-06T00:00:00"/>
    <d v="2024-02-10T00:00:00"/>
    <x v="1"/>
    <x v="6"/>
    <s v="January"/>
    <x v="1"/>
    <x v="2"/>
    <x v="4"/>
    <x v="3"/>
    <n v="1265.68"/>
    <n v="4"/>
    <n v="10"/>
    <s v="Yes"/>
    <n v="1"/>
    <x v="0"/>
    <n v="1"/>
  </r>
  <r>
    <s v="BK00392"/>
    <s v="CUST9552"/>
    <x v="6"/>
    <d v="2024-02-01T00:00:00"/>
    <d v="2024-02-09T00:00:00"/>
    <x v="1"/>
    <x v="6"/>
    <s v="January"/>
    <x v="1"/>
    <x v="1"/>
    <x v="0"/>
    <x v="1"/>
    <n v="1198.3"/>
    <n v="8"/>
    <n v="20"/>
    <s v="Yes"/>
    <n v="1"/>
    <x v="1"/>
    <n v="0"/>
  </r>
  <r>
    <s v="BK00255"/>
    <s v="CUST3449"/>
    <x v="7"/>
    <d v="2024-01-17T00:00:00"/>
    <d v="2024-01-19T00:00:00"/>
    <x v="1"/>
    <x v="0"/>
    <s v="January"/>
    <x v="2"/>
    <x v="1"/>
    <x v="2"/>
    <x v="2"/>
    <n v="581.25"/>
    <n v="2"/>
    <n v="0"/>
    <s v="No"/>
    <n v="0"/>
    <x v="0"/>
    <n v="1"/>
  </r>
  <r>
    <s v="BK00351"/>
    <s v="CUST7245"/>
    <x v="7"/>
    <d v="2024-01-22T00:00:00"/>
    <d v="2024-01-28T00:00:00"/>
    <x v="1"/>
    <x v="0"/>
    <s v="January"/>
    <x v="1"/>
    <x v="1"/>
    <x v="4"/>
    <x v="3"/>
    <n v="764.08"/>
    <n v="6"/>
    <n v="15"/>
    <s v="Yes"/>
    <n v="1"/>
    <x v="1"/>
    <n v="0"/>
  </r>
  <r>
    <s v="BK00439"/>
    <s v="CUST6477"/>
    <x v="7"/>
    <d v="2024-02-06T00:00:00"/>
    <d v="2024-02-13T00:00:00"/>
    <x v="1"/>
    <x v="0"/>
    <s v="January"/>
    <x v="2"/>
    <x v="0"/>
    <x v="2"/>
    <x v="1"/>
    <n v="299.29000000000002"/>
    <n v="7"/>
    <n v="20"/>
    <s v="Yes"/>
    <n v="1"/>
    <x v="0"/>
    <n v="1"/>
  </r>
  <r>
    <s v="BK00015"/>
    <s v="CUST6066"/>
    <x v="8"/>
    <d v="2024-01-28T00:00:00"/>
    <d v="2024-02-02T00:00:00"/>
    <x v="1"/>
    <x v="1"/>
    <s v="January"/>
    <x v="1"/>
    <x v="0"/>
    <x v="1"/>
    <x v="0"/>
    <n v="1135.6199999999999"/>
    <n v="5"/>
    <n v="10"/>
    <s v="Yes"/>
    <n v="1"/>
    <x v="1"/>
    <n v="0"/>
  </r>
  <r>
    <s v="BK00056"/>
    <s v="CUST2862"/>
    <x v="8"/>
    <d v="2024-02-03T00:00:00"/>
    <d v="2024-02-06T00:00:00"/>
    <x v="1"/>
    <x v="1"/>
    <s v="January"/>
    <x v="2"/>
    <x v="3"/>
    <x v="3"/>
    <x v="2"/>
    <n v="807.27"/>
    <n v="3"/>
    <n v="20"/>
    <s v="Yes"/>
    <n v="1"/>
    <x v="0"/>
    <n v="1"/>
  </r>
  <r>
    <s v="BK00092"/>
    <s v="CUST7164"/>
    <x v="8"/>
    <d v="2024-01-18T00:00:00"/>
    <d v="2024-01-22T00:00:00"/>
    <x v="1"/>
    <x v="1"/>
    <s v="January"/>
    <x v="0"/>
    <x v="3"/>
    <x v="3"/>
    <x v="0"/>
    <n v="215.35"/>
    <n v="4"/>
    <n v="0"/>
    <s v="No"/>
    <n v="0"/>
    <x v="1"/>
    <n v="0"/>
  </r>
  <r>
    <s v="BK00252"/>
    <s v="CUST1316"/>
    <x v="8"/>
    <d v="2024-01-15T00:00:00"/>
    <d v="2024-01-19T00:00:00"/>
    <x v="1"/>
    <x v="1"/>
    <s v="January"/>
    <x v="1"/>
    <x v="0"/>
    <x v="2"/>
    <x v="2"/>
    <n v="252.56"/>
    <n v="4"/>
    <n v="10"/>
    <s v="Yes"/>
    <n v="1"/>
    <x v="1"/>
    <n v="0"/>
  </r>
  <r>
    <s v="BK00292"/>
    <s v="CUST8188"/>
    <x v="8"/>
    <d v="2024-01-17T00:00:00"/>
    <d v="2024-01-19T00:00:00"/>
    <x v="1"/>
    <x v="1"/>
    <s v="January"/>
    <x v="0"/>
    <x v="1"/>
    <x v="4"/>
    <x v="1"/>
    <n v="560.82000000000005"/>
    <n v="2"/>
    <n v="20"/>
    <s v="Yes"/>
    <n v="1"/>
    <x v="1"/>
    <n v="0"/>
  </r>
  <r>
    <s v="BK00410"/>
    <s v="CUST5052"/>
    <x v="8"/>
    <d v="2024-01-12T00:00:00"/>
    <d v="2024-01-17T00:00:00"/>
    <x v="1"/>
    <x v="1"/>
    <s v="January"/>
    <x v="0"/>
    <x v="3"/>
    <x v="2"/>
    <x v="2"/>
    <n v="259.23"/>
    <n v="5"/>
    <n v="15"/>
    <s v="Yes"/>
    <n v="1"/>
    <x v="1"/>
    <n v="0"/>
  </r>
  <r>
    <s v="BK00120"/>
    <s v="CUST4957"/>
    <x v="9"/>
    <d v="2024-02-07T00:00:00"/>
    <d v="2024-02-12T00:00:00"/>
    <x v="1"/>
    <x v="2"/>
    <s v="January"/>
    <x v="1"/>
    <x v="2"/>
    <x v="3"/>
    <x v="3"/>
    <n v="573.98"/>
    <n v="5"/>
    <n v="0"/>
    <s v="No"/>
    <n v="0"/>
    <x v="0"/>
    <n v="1"/>
  </r>
  <r>
    <s v="BK00145"/>
    <s v="CUST1381"/>
    <x v="9"/>
    <d v="2024-01-21T00:00:00"/>
    <d v="2024-01-24T00:00:00"/>
    <x v="1"/>
    <x v="2"/>
    <s v="January"/>
    <x v="1"/>
    <x v="1"/>
    <x v="1"/>
    <x v="2"/>
    <n v="1183.1400000000001"/>
    <n v="3"/>
    <n v="10"/>
    <s v="Yes"/>
    <n v="1"/>
    <x v="1"/>
    <n v="0"/>
  </r>
  <r>
    <s v="BK00225"/>
    <s v="CUST3956"/>
    <x v="9"/>
    <d v="2024-01-28T00:00:00"/>
    <d v="2024-01-29T00:00:00"/>
    <x v="1"/>
    <x v="2"/>
    <s v="January"/>
    <x v="0"/>
    <x v="0"/>
    <x v="2"/>
    <x v="3"/>
    <n v="453.76"/>
    <n v="1"/>
    <n v="0"/>
    <s v="No"/>
    <n v="0"/>
    <x v="1"/>
    <n v="0"/>
  </r>
  <r>
    <s v="BK00355"/>
    <s v="CUST8056"/>
    <x v="9"/>
    <d v="2024-01-27T00:00:00"/>
    <d v="2024-01-29T00:00:00"/>
    <x v="1"/>
    <x v="2"/>
    <s v="January"/>
    <x v="0"/>
    <x v="0"/>
    <x v="1"/>
    <x v="3"/>
    <n v="1488.79"/>
    <n v="2"/>
    <n v="20"/>
    <s v="Yes"/>
    <n v="1"/>
    <x v="0"/>
    <n v="1"/>
  </r>
  <r>
    <s v="BK00097"/>
    <s v="CUST8730"/>
    <x v="10"/>
    <d v="2024-01-23T00:00:00"/>
    <d v="2024-01-28T00:00:00"/>
    <x v="1"/>
    <x v="3"/>
    <s v="January"/>
    <x v="2"/>
    <x v="3"/>
    <x v="4"/>
    <x v="1"/>
    <n v="1071.67"/>
    <n v="5"/>
    <n v="25"/>
    <s v="Yes"/>
    <n v="1"/>
    <x v="0"/>
    <n v="1"/>
  </r>
  <r>
    <s v="BK00131"/>
    <s v="CUST3249"/>
    <x v="10"/>
    <d v="2024-01-16T00:00:00"/>
    <d v="2024-01-26T00:00:00"/>
    <x v="1"/>
    <x v="3"/>
    <s v="January"/>
    <x v="0"/>
    <x v="2"/>
    <x v="3"/>
    <x v="1"/>
    <n v="574.16999999999996"/>
    <n v="10"/>
    <n v="15"/>
    <s v="Yes"/>
    <n v="1"/>
    <x v="1"/>
    <n v="0"/>
  </r>
  <r>
    <s v="BK00244"/>
    <s v="CUST9340"/>
    <x v="10"/>
    <d v="2024-01-25T00:00:00"/>
    <d v="2024-01-27T00:00:00"/>
    <x v="1"/>
    <x v="3"/>
    <s v="January"/>
    <x v="1"/>
    <x v="0"/>
    <x v="3"/>
    <x v="0"/>
    <n v="452.46"/>
    <n v="2"/>
    <n v="0"/>
    <s v="No"/>
    <n v="0"/>
    <x v="1"/>
    <n v="0"/>
  </r>
  <r>
    <s v="BK00094"/>
    <s v="CUST4412"/>
    <x v="11"/>
    <d v="2024-01-18T00:00:00"/>
    <d v="2024-01-24T00:00:00"/>
    <x v="1"/>
    <x v="4"/>
    <s v="January"/>
    <x v="1"/>
    <x v="2"/>
    <x v="1"/>
    <x v="3"/>
    <n v="842.59"/>
    <n v="6"/>
    <n v="5"/>
    <s v="Yes"/>
    <n v="1"/>
    <x v="1"/>
    <n v="0"/>
  </r>
  <r>
    <s v="BK00162"/>
    <s v="CUST5672"/>
    <x v="11"/>
    <d v="2024-02-04T00:00:00"/>
    <d v="2024-02-10T00:00:00"/>
    <x v="1"/>
    <x v="4"/>
    <s v="January"/>
    <x v="2"/>
    <x v="2"/>
    <x v="1"/>
    <x v="2"/>
    <n v="1152.4100000000001"/>
    <n v="6"/>
    <n v="20"/>
    <s v="Yes"/>
    <n v="1"/>
    <x v="1"/>
    <n v="0"/>
  </r>
  <r>
    <s v="BK00272"/>
    <s v="CUST6302"/>
    <x v="11"/>
    <d v="2024-02-11T00:00:00"/>
    <d v="2024-02-17T00:00:00"/>
    <x v="1"/>
    <x v="4"/>
    <s v="January"/>
    <x v="2"/>
    <x v="0"/>
    <x v="1"/>
    <x v="3"/>
    <n v="650.17999999999995"/>
    <n v="6"/>
    <n v="10"/>
    <s v="Yes"/>
    <n v="1"/>
    <x v="1"/>
    <n v="0"/>
  </r>
  <r>
    <s v="BK00315"/>
    <s v="CUST3401"/>
    <x v="11"/>
    <d v="2024-02-08T00:00:00"/>
    <d v="2024-02-11T00:00:00"/>
    <x v="1"/>
    <x v="4"/>
    <s v="January"/>
    <x v="0"/>
    <x v="1"/>
    <x v="5"/>
    <x v="1"/>
    <n v="404.44"/>
    <n v="3"/>
    <n v="0"/>
    <s v="No"/>
    <n v="0"/>
    <x v="0"/>
    <n v="1"/>
  </r>
  <r>
    <s v="BK00045"/>
    <s v="CUST6332"/>
    <x v="12"/>
    <d v="2024-01-15T00:00:00"/>
    <d v="2024-01-25T00:00:00"/>
    <x v="1"/>
    <x v="5"/>
    <s v="January"/>
    <x v="1"/>
    <x v="2"/>
    <x v="2"/>
    <x v="2"/>
    <n v="398.72"/>
    <n v="10"/>
    <n v="0"/>
    <s v="No"/>
    <n v="0"/>
    <x v="1"/>
    <n v="0"/>
  </r>
  <r>
    <s v="BK00133"/>
    <s v="CUST9988"/>
    <x v="12"/>
    <d v="2024-02-04T00:00:00"/>
    <d v="2024-02-10T00:00:00"/>
    <x v="1"/>
    <x v="5"/>
    <s v="January"/>
    <x v="0"/>
    <x v="2"/>
    <x v="2"/>
    <x v="3"/>
    <n v="671.46"/>
    <n v="6"/>
    <n v="25"/>
    <s v="Yes"/>
    <n v="1"/>
    <x v="1"/>
    <n v="0"/>
  </r>
  <r>
    <s v="BK00253"/>
    <s v="CUST1905"/>
    <x v="12"/>
    <d v="2024-02-12T00:00:00"/>
    <d v="2024-02-19T00:00:00"/>
    <x v="1"/>
    <x v="5"/>
    <s v="January"/>
    <x v="1"/>
    <x v="0"/>
    <x v="3"/>
    <x v="3"/>
    <n v="1382.32"/>
    <n v="7"/>
    <n v="20"/>
    <s v="Yes"/>
    <n v="1"/>
    <x v="0"/>
    <n v="1"/>
  </r>
  <r>
    <s v="BK00082"/>
    <s v="CUST1078"/>
    <x v="13"/>
    <d v="2024-01-23T00:00:00"/>
    <d v="2024-01-24T00:00:00"/>
    <x v="2"/>
    <x v="6"/>
    <s v="January"/>
    <x v="2"/>
    <x v="3"/>
    <x v="1"/>
    <x v="2"/>
    <n v="863.66"/>
    <n v="1"/>
    <n v="20"/>
    <s v="Yes"/>
    <n v="1"/>
    <x v="1"/>
    <n v="0"/>
  </r>
  <r>
    <s v="BK00207"/>
    <s v="CUST2612"/>
    <x v="13"/>
    <d v="2024-02-10T00:00:00"/>
    <d v="2024-02-16T00:00:00"/>
    <x v="2"/>
    <x v="6"/>
    <s v="January"/>
    <x v="1"/>
    <x v="0"/>
    <x v="1"/>
    <x v="1"/>
    <n v="610.71"/>
    <n v="6"/>
    <n v="15"/>
    <s v="Yes"/>
    <n v="1"/>
    <x v="1"/>
    <n v="0"/>
  </r>
  <r>
    <s v="BK00358"/>
    <s v="CUST1578"/>
    <x v="13"/>
    <d v="2024-01-29T00:00:00"/>
    <d v="2024-02-07T00:00:00"/>
    <x v="2"/>
    <x v="6"/>
    <s v="January"/>
    <x v="1"/>
    <x v="2"/>
    <x v="2"/>
    <x v="0"/>
    <n v="1152.23"/>
    <n v="9"/>
    <n v="25"/>
    <s v="Yes"/>
    <n v="1"/>
    <x v="0"/>
    <n v="1"/>
  </r>
  <r>
    <s v="BK00129"/>
    <s v="CUST4954"/>
    <x v="14"/>
    <d v="2024-02-08T00:00:00"/>
    <d v="2024-02-17T00:00:00"/>
    <x v="2"/>
    <x v="0"/>
    <s v="January"/>
    <x v="2"/>
    <x v="0"/>
    <x v="1"/>
    <x v="2"/>
    <n v="1005.82"/>
    <n v="9"/>
    <n v="10"/>
    <s v="Yes"/>
    <n v="1"/>
    <x v="1"/>
    <n v="0"/>
  </r>
  <r>
    <s v="BK00216"/>
    <s v="CUST7381"/>
    <x v="14"/>
    <d v="2024-01-17T00:00:00"/>
    <d v="2024-01-24T00:00:00"/>
    <x v="2"/>
    <x v="0"/>
    <s v="January"/>
    <x v="1"/>
    <x v="1"/>
    <x v="0"/>
    <x v="0"/>
    <n v="439.74"/>
    <n v="7"/>
    <n v="15"/>
    <s v="Yes"/>
    <n v="1"/>
    <x v="0"/>
    <n v="1"/>
  </r>
  <r>
    <s v="BK00220"/>
    <s v="CUST8974"/>
    <x v="14"/>
    <d v="2024-02-13T00:00:00"/>
    <d v="2024-02-18T00:00:00"/>
    <x v="2"/>
    <x v="0"/>
    <s v="January"/>
    <x v="1"/>
    <x v="0"/>
    <x v="0"/>
    <x v="0"/>
    <n v="1238.2"/>
    <n v="5"/>
    <n v="10"/>
    <s v="Yes"/>
    <n v="1"/>
    <x v="0"/>
    <n v="1"/>
  </r>
  <r>
    <s v="BK00227"/>
    <s v="CUST3001"/>
    <x v="14"/>
    <d v="2024-01-19T00:00:00"/>
    <d v="2024-01-21T00:00:00"/>
    <x v="2"/>
    <x v="0"/>
    <s v="January"/>
    <x v="2"/>
    <x v="0"/>
    <x v="4"/>
    <x v="3"/>
    <n v="1422.7"/>
    <n v="2"/>
    <n v="5"/>
    <s v="Yes"/>
    <n v="1"/>
    <x v="1"/>
    <n v="0"/>
  </r>
  <r>
    <s v="BK00466"/>
    <s v="CUST1687"/>
    <x v="14"/>
    <d v="2024-01-19T00:00:00"/>
    <d v="2024-01-28T00:00:00"/>
    <x v="2"/>
    <x v="0"/>
    <s v="January"/>
    <x v="2"/>
    <x v="3"/>
    <x v="4"/>
    <x v="1"/>
    <n v="499.21"/>
    <n v="9"/>
    <n v="25"/>
    <s v="Yes"/>
    <n v="1"/>
    <x v="0"/>
    <n v="1"/>
  </r>
  <r>
    <s v="BK00069"/>
    <s v="CUST7862"/>
    <x v="15"/>
    <d v="2024-02-15T00:00:00"/>
    <d v="2024-02-17T00:00:00"/>
    <x v="2"/>
    <x v="1"/>
    <s v="January"/>
    <x v="2"/>
    <x v="2"/>
    <x v="5"/>
    <x v="0"/>
    <n v="1223.21"/>
    <n v="2"/>
    <n v="15"/>
    <s v="Yes"/>
    <n v="1"/>
    <x v="0"/>
    <n v="1"/>
  </r>
  <r>
    <s v="BK00349"/>
    <s v="CUST6577"/>
    <x v="15"/>
    <d v="2024-02-12T00:00:00"/>
    <d v="2024-02-13T00:00:00"/>
    <x v="2"/>
    <x v="1"/>
    <s v="January"/>
    <x v="2"/>
    <x v="1"/>
    <x v="2"/>
    <x v="2"/>
    <n v="204.28"/>
    <n v="1"/>
    <n v="20"/>
    <s v="Yes"/>
    <n v="1"/>
    <x v="0"/>
    <n v="1"/>
  </r>
  <r>
    <s v="BK00002"/>
    <s v="CUST5751"/>
    <x v="16"/>
    <d v="2024-01-20T00:00:00"/>
    <d v="2024-01-27T00:00:00"/>
    <x v="2"/>
    <x v="2"/>
    <s v="January"/>
    <x v="0"/>
    <x v="3"/>
    <x v="3"/>
    <x v="0"/>
    <n v="699.68"/>
    <n v="7"/>
    <n v="25"/>
    <s v="Yes"/>
    <n v="1"/>
    <x v="1"/>
    <n v="0"/>
  </r>
  <r>
    <s v="BK00189"/>
    <s v="CUST9129"/>
    <x v="16"/>
    <d v="2024-02-08T00:00:00"/>
    <d v="2024-02-15T00:00:00"/>
    <x v="2"/>
    <x v="2"/>
    <s v="January"/>
    <x v="2"/>
    <x v="3"/>
    <x v="0"/>
    <x v="1"/>
    <n v="283.74"/>
    <n v="7"/>
    <n v="15"/>
    <s v="Yes"/>
    <n v="1"/>
    <x v="1"/>
    <n v="0"/>
  </r>
  <r>
    <s v="BK00214"/>
    <s v="CUST7388"/>
    <x v="16"/>
    <d v="2024-01-19T00:00:00"/>
    <d v="2024-01-20T00:00:00"/>
    <x v="2"/>
    <x v="2"/>
    <s v="January"/>
    <x v="1"/>
    <x v="3"/>
    <x v="0"/>
    <x v="0"/>
    <n v="1171.93"/>
    <n v="1"/>
    <n v="10"/>
    <s v="Yes"/>
    <n v="1"/>
    <x v="0"/>
    <n v="1"/>
  </r>
  <r>
    <s v="BK00221"/>
    <s v="CUST6580"/>
    <x v="16"/>
    <d v="2024-01-27T00:00:00"/>
    <d v="2024-02-05T00:00:00"/>
    <x v="2"/>
    <x v="2"/>
    <s v="January"/>
    <x v="0"/>
    <x v="2"/>
    <x v="4"/>
    <x v="2"/>
    <n v="1217.3"/>
    <n v="9"/>
    <n v="15"/>
    <s v="Yes"/>
    <n v="1"/>
    <x v="0"/>
    <n v="1"/>
  </r>
  <r>
    <s v="BK00223"/>
    <s v="CUST7978"/>
    <x v="16"/>
    <d v="2024-01-29T00:00:00"/>
    <d v="2024-01-31T00:00:00"/>
    <x v="2"/>
    <x v="2"/>
    <s v="January"/>
    <x v="1"/>
    <x v="3"/>
    <x v="5"/>
    <x v="2"/>
    <n v="503.38"/>
    <n v="2"/>
    <n v="15"/>
    <s v="Yes"/>
    <n v="1"/>
    <x v="0"/>
    <n v="1"/>
  </r>
  <r>
    <s v="BK00493"/>
    <s v="CUST3369"/>
    <x v="16"/>
    <d v="2024-02-13T00:00:00"/>
    <d v="2024-02-16T00:00:00"/>
    <x v="2"/>
    <x v="2"/>
    <s v="January"/>
    <x v="0"/>
    <x v="3"/>
    <x v="5"/>
    <x v="1"/>
    <n v="244.81"/>
    <n v="3"/>
    <n v="20"/>
    <s v="Yes"/>
    <n v="1"/>
    <x v="1"/>
    <n v="0"/>
  </r>
  <r>
    <s v="BK00149"/>
    <s v="CUST9759"/>
    <x v="17"/>
    <d v="2024-01-31T00:00:00"/>
    <d v="2024-02-08T00:00:00"/>
    <x v="2"/>
    <x v="3"/>
    <s v="January"/>
    <x v="1"/>
    <x v="0"/>
    <x v="2"/>
    <x v="1"/>
    <n v="1227.1400000000001"/>
    <n v="8"/>
    <n v="15"/>
    <s v="Yes"/>
    <n v="1"/>
    <x v="1"/>
    <n v="0"/>
  </r>
  <r>
    <s v="BK00169"/>
    <s v="CUST2286"/>
    <x v="17"/>
    <d v="2024-01-30T00:00:00"/>
    <d v="2024-02-06T00:00:00"/>
    <x v="2"/>
    <x v="3"/>
    <s v="January"/>
    <x v="0"/>
    <x v="2"/>
    <x v="3"/>
    <x v="0"/>
    <n v="609.29999999999995"/>
    <n v="7"/>
    <n v="25"/>
    <s v="Yes"/>
    <n v="1"/>
    <x v="0"/>
    <n v="1"/>
  </r>
  <r>
    <s v="BK00195"/>
    <s v="CUST8342"/>
    <x v="17"/>
    <d v="2024-01-31T00:00:00"/>
    <d v="2024-02-02T00:00:00"/>
    <x v="2"/>
    <x v="3"/>
    <s v="January"/>
    <x v="2"/>
    <x v="3"/>
    <x v="5"/>
    <x v="1"/>
    <n v="711.11"/>
    <n v="2"/>
    <n v="20"/>
    <s v="Yes"/>
    <n v="1"/>
    <x v="1"/>
    <n v="0"/>
  </r>
  <r>
    <s v="BK00010"/>
    <s v="CUST3135"/>
    <x v="18"/>
    <d v="2024-01-22T00:00:00"/>
    <d v="2024-01-29T00:00:00"/>
    <x v="2"/>
    <x v="4"/>
    <s v="January"/>
    <x v="0"/>
    <x v="0"/>
    <x v="1"/>
    <x v="2"/>
    <n v="974.93"/>
    <n v="7"/>
    <n v="10"/>
    <s v="Yes"/>
    <n v="1"/>
    <x v="1"/>
    <n v="0"/>
  </r>
  <r>
    <s v="BK00028"/>
    <s v="CUST6510"/>
    <x v="18"/>
    <d v="2024-02-05T00:00:00"/>
    <d v="2024-02-12T00:00:00"/>
    <x v="2"/>
    <x v="4"/>
    <s v="January"/>
    <x v="0"/>
    <x v="3"/>
    <x v="5"/>
    <x v="3"/>
    <n v="204.65"/>
    <n v="7"/>
    <n v="15"/>
    <s v="Yes"/>
    <n v="1"/>
    <x v="1"/>
    <n v="0"/>
  </r>
  <r>
    <s v="BK00100"/>
    <s v="CUST9205"/>
    <x v="18"/>
    <d v="2024-01-31T00:00:00"/>
    <d v="2024-02-07T00:00:00"/>
    <x v="2"/>
    <x v="4"/>
    <s v="January"/>
    <x v="2"/>
    <x v="2"/>
    <x v="3"/>
    <x v="2"/>
    <n v="183.71"/>
    <n v="7"/>
    <n v="20"/>
    <s v="Yes"/>
    <n v="1"/>
    <x v="0"/>
    <n v="1"/>
  </r>
  <r>
    <s v="BK00166"/>
    <s v="CUST2298"/>
    <x v="18"/>
    <d v="2024-01-25T00:00:00"/>
    <d v="2024-01-31T00:00:00"/>
    <x v="2"/>
    <x v="4"/>
    <s v="January"/>
    <x v="2"/>
    <x v="1"/>
    <x v="0"/>
    <x v="1"/>
    <n v="189.48"/>
    <n v="6"/>
    <n v="10"/>
    <s v="Yes"/>
    <n v="1"/>
    <x v="1"/>
    <n v="0"/>
  </r>
  <r>
    <s v="BK00237"/>
    <s v="CUST2715"/>
    <x v="18"/>
    <d v="2024-02-11T00:00:00"/>
    <d v="2024-02-16T00:00:00"/>
    <x v="2"/>
    <x v="4"/>
    <s v="January"/>
    <x v="2"/>
    <x v="2"/>
    <x v="3"/>
    <x v="1"/>
    <n v="1072.8900000000001"/>
    <n v="5"/>
    <n v="10"/>
    <s v="Yes"/>
    <n v="1"/>
    <x v="0"/>
    <n v="1"/>
  </r>
  <r>
    <s v="BK00303"/>
    <s v="CUST1031"/>
    <x v="18"/>
    <d v="2024-01-31T00:00:00"/>
    <d v="2024-02-10T00:00:00"/>
    <x v="2"/>
    <x v="4"/>
    <s v="January"/>
    <x v="2"/>
    <x v="3"/>
    <x v="4"/>
    <x v="0"/>
    <n v="470.93"/>
    <n v="10"/>
    <n v="0"/>
    <s v="No"/>
    <n v="0"/>
    <x v="0"/>
    <n v="1"/>
  </r>
  <r>
    <s v="BK00488"/>
    <s v="CUST1770"/>
    <x v="18"/>
    <d v="2024-01-27T00:00:00"/>
    <d v="2024-02-02T00:00:00"/>
    <x v="2"/>
    <x v="4"/>
    <s v="January"/>
    <x v="2"/>
    <x v="3"/>
    <x v="3"/>
    <x v="0"/>
    <n v="1030.6199999999999"/>
    <n v="6"/>
    <n v="15"/>
    <s v="Yes"/>
    <n v="1"/>
    <x v="0"/>
    <n v="1"/>
  </r>
  <r>
    <s v="BK00499"/>
    <s v="CUST3890"/>
    <x v="18"/>
    <d v="2024-01-29T00:00:00"/>
    <d v="2024-02-06T00:00:00"/>
    <x v="2"/>
    <x v="4"/>
    <s v="January"/>
    <x v="2"/>
    <x v="2"/>
    <x v="3"/>
    <x v="2"/>
    <n v="412"/>
    <n v="8"/>
    <n v="5"/>
    <s v="Yes"/>
    <n v="1"/>
    <x v="1"/>
    <n v="0"/>
  </r>
  <r>
    <s v="BK00034"/>
    <s v="CUST4276"/>
    <x v="19"/>
    <d v="2024-02-14T00:00:00"/>
    <d v="2024-02-15T00:00:00"/>
    <x v="2"/>
    <x v="5"/>
    <s v="January"/>
    <x v="1"/>
    <x v="3"/>
    <x v="2"/>
    <x v="3"/>
    <n v="1449.36"/>
    <n v="1"/>
    <n v="15"/>
    <s v="Yes"/>
    <n v="1"/>
    <x v="0"/>
    <n v="1"/>
  </r>
  <r>
    <s v="BK00052"/>
    <s v="CUST3416"/>
    <x v="19"/>
    <d v="2024-01-22T00:00:00"/>
    <d v="2024-01-27T00:00:00"/>
    <x v="2"/>
    <x v="5"/>
    <s v="January"/>
    <x v="0"/>
    <x v="2"/>
    <x v="0"/>
    <x v="2"/>
    <n v="570.36"/>
    <n v="5"/>
    <n v="15"/>
    <s v="Yes"/>
    <n v="1"/>
    <x v="1"/>
    <n v="0"/>
  </r>
  <r>
    <s v="BK00304"/>
    <s v="CUST3504"/>
    <x v="19"/>
    <d v="2024-02-03T00:00:00"/>
    <d v="2024-02-10T00:00:00"/>
    <x v="2"/>
    <x v="5"/>
    <s v="January"/>
    <x v="2"/>
    <x v="3"/>
    <x v="2"/>
    <x v="3"/>
    <n v="321.58"/>
    <n v="7"/>
    <n v="10"/>
    <s v="Yes"/>
    <n v="1"/>
    <x v="0"/>
    <n v="1"/>
  </r>
  <r>
    <s v="BK00142"/>
    <s v="CUST5408"/>
    <x v="20"/>
    <d v="2024-02-05T00:00:00"/>
    <d v="2024-02-11T00:00:00"/>
    <x v="3"/>
    <x v="6"/>
    <s v="January"/>
    <x v="0"/>
    <x v="3"/>
    <x v="2"/>
    <x v="2"/>
    <n v="273.16000000000003"/>
    <n v="6"/>
    <n v="20"/>
    <s v="Yes"/>
    <n v="1"/>
    <x v="1"/>
    <n v="0"/>
  </r>
  <r>
    <s v="BK00184"/>
    <s v="CUST9769"/>
    <x v="20"/>
    <d v="2024-01-31T00:00:00"/>
    <d v="2024-02-08T00:00:00"/>
    <x v="3"/>
    <x v="6"/>
    <s v="January"/>
    <x v="1"/>
    <x v="1"/>
    <x v="4"/>
    <x v="3"/>
    <n v="483.35"/>
    <n v="8"/>
    <n v="5"/>
    <s v="Yes"/>
    <n v="1"/>
    <x v="0"/>
    <n v="1"/>
  </r>
  <r>
    <s v="BK00202"/>
    <s v="CUST8972"/>
    <x v="20"/>
    <d v="2024-02-13T00:00:00"/>
    <d v="2024-02-21T00:00:00"/>
    <x v="3"/>
    <x v="6"/>
    <s v="January"/>
    <x v="0"/>
    <x v="3"/>
    <x v="0"/>
    <x v="2"/>
    <n v="816.08"/>
    <n v="8"/>
    <n v="25"/>
    <s v="Yes"/>
    <n v="1"/>
    <x v="1"/>
    <n v="0"/>
  </r>
  <r>
    <s v="BK00212"/>
    <s v="CUST5680"/>
    <x v="20"/>
    <d v="2024-01-23T00:00:00"/>
    <d v="2024-02-01T00:00:00"/>
    <x v="3"/>
    <x v="6"/>
    <s v="January"/>
    <x v="2"/>
    <x v="0"/>
    <x v="4"/>
    <x v="1"/>
    <n v="568.04"/>
    <n v="9"/>
    <n v="20"/>
    <s v="Yes"/>
    <n v="1"/>
    <x v="1"/>
    <n v="0"/>
  </r>
  <r>
    <s v="BK00226"/>
    <s v="CUST4974"/>
    <x v="20"/>
    <d v="2024-01-30T00:00:00"/>
    <d v="2024-02-06T00:00:00"/>
    <x v="3"/>
    <x v="6"/>
    <s v="January"/>
    <x v="2"/>
    <x v="3"/>
    <x v="4"/>
    <x v="3"/>
    <n v="177.8"/>
    <n v="7"/>
    <n v="25"/>
    <s v="Yes"/>
    <n v="1"/>
    <x v="0"/>
    <n v="1"/>
  </r>
  <r>
    <s v="BK00416"/>
    <s v="CUST8355"/>
    <x v="20"/>
    <d v="2024-01-28T00:00:00"/>
    <d v="2024-02-06T00:00:00"/>
    <x v="3"/>
    <x v="6"/>
    <s v="January"/>
    <x v="2"/>
    <x v="0"/>
    <x v="2"/>
    <x v="3"/>
    <n v="1028.3800000000001"/>
    <n v="9"/>
    <n v="5"/>
    <s v="Yes"/>
    <n v="1"/>
    <x v="1"/>
    <n v="0"/>
  </r>
  <r>
    <s v="BK00473"/>
    <s v="CUST1995"/>
    <x v="20"/>
    <d v="2024-01-29T00:00:00"/>
    <d v="2024-02-03T00:00:00"/>
    <x v="3"/>
    <x v="6"/>
    <s v="January"/>
    <x v="1"/>
    <x v="3"/>
    <x v="4"/>
    <x v="0"/>
    <n v="1300.1300000000001"/>
    <n v="5"/>
    <n v="25"/>
    <s v="Yes"/>
    <n v="1"/>
    <x v="1"/>
    <n v="0"/>
  </r>
  <r>
    <s v="BK00143"/>
    <s v="CUST9424"/>
    <x v="21"/>
    <d v="2024-02-10T00:00:00"/>
    <d v="2024-02-17T00:00:00"/>
    <x v="3"/>
    <x v="0"/>
    <s v="January"/>
    <x v="1"/>
    <x v="3"/>
    <x v="2"/>
    <x v="3"/>
    <n v="1474.49"/>
    <n v="7"/>
    <n v="20"/>
    <s v="Yes"/>
    <n v="1"/>
    <x v="0"/>
    <n v="1"/>
  </r>
  <r>
    <s v="BK00211"/>
    <s v="CUST5420"/>
    <x v="21"/>
    <d v="2024-02-18T00:00:00"/>
    <d v="2024-02-25T00:00:00"/>
    <x v="3"/>
    <x v="0"/>
    <s v="January"/>
    <x v="2"/>
    <x v="1"/>
    <x v="4"/>
    <x v="2"/>
    <n v="1300.5999999999999"/>
    <n v="7"/>
    <n v="5"/>
    <s v="Yes"/>
    <n v="1"/>
    <x v="0"/>
    <n v="1"/>
  </r>
  <r>
    <s v="BK00243"/>
    <s v="CUST5938"/>
    <x v="21"/>
    <d v="2024-02-10T00:00:00"/>
    <d v="2024-02-15T00:00:00"/>
    <x v="3"/>
    <x v="0"/>
    <s v="January"/>
    <x v="1"/>
    <x v="2"/>
    <x v="5"/>
    <x v="0"/>
    <n v="151.03"/>
    <n v="5"/>
    <n v="20"/>
    <s v="Yes"/>
    <n v="1"/>
    <x v="1"/>
    <n v="0"/>
  </r>
  <r>
    <s v="BK00263"/>
    <s v="CUST5791"/>
    <x v="21"/>
    <d v="2024-02-05T00:00:00"/>
    <d v="2024-02-09T00:00:00"/>
    <x v="3"/>
    <x v="0"/>
    <s v="January"/>
    <x v="1"/>
    <x v="1"/>
    <x v="3"/>
    <x v="2"/>
    <n v="1185.53"/>
    <n v="4"/>
    <n v="25"/>
    <s v="Yes"/>
    <n v="1"/>
    <x v="1"/>
    <n v="0"/>
  </r>
  <r>
    <s v="BK00310"/>
    <s v="CUST5744"/>
    <x v="21"/>
    <d v="2024-02-13T00:00:00"/>
    <d v="2024-02-14T00:00:00"/>
    <x v="3"/>
    <x v="0"/>
    <s v="January"/>
    <x v="1"/>
    <x v="2"/>
    <x v="1"/>
    <x v="1"/>
    <n v="645.6"/>
    <n v="1"/>
    <n v="0"/>
    <s v="No"/>
    <n v="0"/>
    <x v="1"/>
    <n v="0"/>
  </r>
  <r>
    <s v="BK00359"/>
    <s v="CUST6662"/>
    <x v="21"/>
    <d v="2024-02-11T00:00:00"/>
    <d v="2024-02-14T00:00:00"/>
    <x v="3"/>
    <x v="0"/>
    <s v="January"/>
    <x v="1"/>
    <x v="2"/>
    <x v="1"/>
    <x v="1"/>
    <n v="1133.9000000000001"/>
    <n v="3"/>
    <n v="25"/>
    <s v="Yes"/>
    <n v="1"/>
    <x v="1"/>
    <n v="0"/>
  </r>
  <r>
    <s v="BK00038"/>
    <s v="CUST2933"/>
    <x v="22"/>
    <d v="2024-02-11T00:00:00"/>
    <d v="2024-02-13T00:00:00"/>
    <x v="3"/>
    <x v="1"/>
    <s v="January"/>
    <x v="2"/>
    <x v="2"/>
    <x v="5"/>
    <x v="1"/>
    <n v="516.04999999999995"/>
    <n v="2"/>
    <n v="10"/>
    <s v="Yes"/>
    <n v="1"/>
    <x v="1"/>
    <n v="0"/>
  </r>
  <r>
    <s v="BK00453"/>
    <s v="CUST3429"/>
    <x v="22"/>
    <d v="2024-02-01T00:00:00"/>
    <d v="2024-02-09T00:00:00"/>
    <x v="3"/>
    <x v="1"/>
    <s v="January"/>
    <x v="2"/>
    <x v="1"/>
    <x v="0"/>
    <x v="0"/>
    <n v="1382.96"/>
    <n v="8"/>
    <n v="25"/>
    <s v="Yes"/>
    <n v="1"/>
    <x v="1"/>
    <n v="0"/>
  </r>
  <r>
    <s v="BK00084"/>
    <s v="CUST8762"/>
    <x v="23"/>
    <d v="2024-02-17T00:00:00"/>
    <d v="2024-02-26T00:00:00"/>
    <x v="3"/>
    <x v="2"/>
    <s v="January"/>
    <x v="1"/>
    <x v="2"/>
    <x v="4"/>
    <x v="1"/>
    <n v="515.4"/>
    <n v="9"/>
    <n v="15"/>
    <s v="Yes"/>
    <n v="1"/>
    <x v="1"/>
    <n v="0"/>
  </r>
  <r>
    <s v="BK00088"/>
    <s v="CUST9101"/>
    <x v="23"/>
    <d v="2024-02-15T00:00:00"/>
    <d v="2024-02-17T00:00:00"/>
    <x v="3"/>
    <x v="2"/>
    <s v="January"/>
    <x v="2"/>
    <x v="1"/>
    <x v="1"/>
    <x v="2"/>
    <n v="1085.48"/>
    <n v="2"/>
    <n v="0"/>
    <s v="No"/>
    <n v="0"/>
    <x v="1"/>
    <n v="0"/>
  </r>
  <r>
    <s v="BK00105"/>
    <s v="CUST5930"/>
    <x v="23"/>
    <d v="2024-02-22T00:00:00"/>
    <d v="2024-02-28T00:00:00"/>
    <x v="3"/>
    <x v="2"/>
    <s v="January"/>
    <x v="1"/>
    <x v="3"/>
    <x v="1"/>
    <x v="1"/>
    <n v="807.57"/>
    <n v="6"/>
    <n v="5"/>
    <s v="Yes"/>
    <n v="1"/>
    <x v="1"/>
    <n v="0"/>
  </r>
  <r>
    <s v="BK00173"/>
    <s v="CUST7127"/>
    <x v="23"/>
    <d v="2024-01-28T00:00:00"/>
    <d v="2024-02-06T00:00:00"/>
    <x v="3"/>
    <x v="2"/>
    <s v="January"/>
    <x v="1"/>
    <x v="0"/>
    <x v="5"/>
    <x v="0"/>
    <n v="800.48"/>
    <n v="9"/>
    <n v="15"/>
    <s v="Yes"/>
    <n v="1"/>
    <x v="1"/>
    <n v="0"/>
  </r>
  <r>
    <s v="BK00368"/>
    <s v="CUST8811"/>
    <x v="23"/>
    <d v="2024-02-12T00:00:00"/>
    <d v="2024-02-21T00:00:00"/>
    <x v="3"/>
    <x v="2"/>
    <s v="January"/>
    <x v="0"/>
    <x v="1"/>
    <x v="3"/>
    <x v="0"/>
    <n v="513.4"/>
    <n v="9"/>
    <n v="10"/>
    <s v="Yes"/>
    <n v="1"/>
    <x v="1"/>
    <n v="0"/>
  </r>
  <r>
    <s v="BK00396"/>
    <s v="CUST1693"/>
    <x v="23"/>
    <d v="2024-02-09T00:00:00"/>
    <d v="2024-02-13T00:00:00"/>
    <x v="3"/>
    <x v="2"/>
    <s v="January"/>
    <x v="1"/>
    <x v="3"/>
    <x v="1"/>
    <x v="1"/>
    <n v="112.35"/>
    <n v="4"/>
    <n v="0"/>
    <s v="No"/>
    <n v="0"/>
    <x v="0"/>
    <n v="1"/>
  </r>
  <r>
    <s v="BK00417"/>
    <s v="CUST2555"/>
    <x v="23"/>
    <d v="2024-01-30T00:00:00"/>
    <d v="2024-01-31T00:00:00"/>
    <x v="3"/>
    <x v="2"/>
    <s v="January"/>
    <x v="0"/>
    <x v="1"/>
    <x v="4"/>
    <x v="3"/>
    <n v="1498.06"/>
    <n v="1"/>
    <n v="10"/>
    <s v="Yes"/>
    <n v="1"/>
    <x v="0"/>
    <n v="1"/>
  </r>
  <r>
    <s v="BK00418"/>
    <s v="CUST3924"/>
    <x v="23"/>
    <d v="2024-02-23T00:00:00"/>
    <d v="2024-03-02T00:00:00"/>
    <x v="3"/>
    <x v="2"/>
    <s v="January"/>
    <x v="0"/>
    <x v="3"/>
    <x v="0"/>
    <x v="2"/>
    <n v="699.42"/>
    <n v="8"/>
    <n v="25"/>
    <s v="Yes"/>
    <n v="1"/>
    <x v="1"/>
    <n v="0"/>
  </r>
  <r>
    <s v="BK00071"/>
    <s v="CUST4182"/>
    <x v="24"/>
    <d v="2024-02-07T00:00:00"/>
    <d v="2024-02-12T00:00:00"/>
    <x v="3"/>
    <x v="3"/>
    <s v="January"/>
    <x v="0"/>
    <x v="0"/>
    <x v="2"/>
    <x v="3"/>
    <n v="411.62"/>
    <n v="5"/>
    <n v="20"/>
    <s v="Yes"/>
    <n v="1"/>
    <x v="1"/>
    <n v="0"/>
  </r>
  <r>
    <s v="BK00128"/>
    <s v="CUST7602"/>
    <x v="24"/>
    <d v="2024-02-10T00:00:00"/>
    <d v="2024-02-12T00:00:00"/>
    <x v="3"/>
    <x v="3"/>
    <s v="January"/>
    <x v="2"/>
    <x v="2"/>
    <x v="5"/>
    <x v="3"/>
    <n v="269.2"/>
    <n v="2"/>
    <n v="15"/>
    <s v="Yes"/>
    <n v="1"/>
    <x v="1"/>
    <n v="0"/>
  </r>
  <r>
    <s v="BK00256"/>
    <s v="CUST4143"/>
    <x v="24"/>
    <d v="2024-02-12T00:00:00"/>
    <d v="2024-02-20T00:00:00"/>
    <x v="3"/>
    <x v="3"/>
    <s v="January"/>
    <x v="1"/>
    <x v="0"/>
    <x v="5"/>
    <x v="0"/>
    <n v="656.28"/>
    <n v="8"/>
    <n v="10"/>
    <s v="Yes"/>
    <n v="1"/>
    <x v="1"/>
    <n v="0"/>
  </r>
  <r>
    <s v="BK00399"/>
    <s v="CUST6894"/>
    <x v="24"/>
    <d v="2024-02-19T00:00:00"/>
    <d v="2024-02-27T00:00:00"/>
    <x v="3"/>
    <x v="3"/>
    <s v="January"/>
    <x v="0"/>
    <x v="3"/>
    <x v="4"/>
    <x v="0"/>
    <n v="987.5"/>
    <n v="8"/>
    <n v="15"/>
    <s v="Yes"/>
    <n v="1"/>
    <x v="0"/>
    <n v="1"/>
  </r>
  <r>
    <s v="BK00435"/>
    <s v="CUST8720"/>
    <x v="24"/>
    <d v="2024-02-11T00:00:00"/>
    <d v="2024-02-14T00:00:00"/>
    <x v="3"/>
    <x v="3"/>
    <s v="January"/>
    <x v="0"/>
    <x v="3"/>
    <x v="1"/>
    <x v="1"/>
    <n v="1457.62"/>
    <n v="3"/>
    <n v="15"/>
    <s v="Yes"/>
    <n v="1"/>
    <x v="1"/>
    <n v="0"/>
  </r>
  <r>
    <s v="BK00152"/>
    <s v="CUST8323"/>
    <x v="25"/>
    <d v="2024-02-19T00:00:00"/>
    <d v="2024-02-26T00:00:00"/>
    <x v="3"/>
    <x v="4"/>
    <s v="January"/>
    <x v="2"/>
    <x v="3"/>
    <x v="3"/>
    <x v="3"/>
    <n v="1232.9100000000001"/>
    <n v="7"/>
    <n v="5"/>
    <s v="Yes"/>
    <n v="1"/>
    <x v="0"/>
    <n v="1"/>
  </r>
  <r>
    <s v="BK00352"/>
    <s v="CUST9803"/>
    <x v="25"/>
    <d v="2024-02-02T00:00:00"/>
    <d v="2024-02-10T00:00:00"/>
    <x v="3"/>
    <x v="4"/>
    <s v="January"/>
    <x v="1"/>
    <x v="1"/>
    <x v="5"/>
    <x v="1"/>
    <n v="737.27"/>
    <n v="8"/>
    <n v="20"/>
    <s v="Yes"/>
    <n v="1"/>
    <x v="0"/>
    <n v="1"/>
  </r>
  <r>
    <s v="BK00375"/>
    <s v="CUST3163"/>
    <x v="25"/>
    <d v="2024-02-19T00:00:00"/>
    <d v="2024-02-23T00:00:00"/>
    <x v="3"/>
    <x v="4"/>
    <s v="January"/>
    <x v="0"/>
    <x v="0"/>
    <x v="0"/>
    <x v="2"/>
    <n v="597.04999999999995"/>
    <n v="4"/>
    <n v="10"/>
    <s v="Yes"/>
    <n v="1"/>
    <x v="0"/>
    <n v="1"/>
  </r>
  <r>
    <s v="BK00376"/>
    <s v="CUST8932"/>
    <x v="25"/>
    <d v="2024-02-17T00:00:00"/>
    <d v="2024-02-18T00:00:00"/>
    <x v="3"/>
    <x v="4"/>
    <s v="January"/>
    <x v="2"/>
    <x v="0"/>
    <x v="3"/>
    <x v="2"/>
    <n v="339.9"/>
    <n v="1"/>
    <n v="10"/>
    <s v="Yes"/>
    <n v="1"/>
    <x v="1"/>
    <n v="0"/>
  </r>
  <r>
    <s v="BK00064"/>
    <s v="CUST5937"/>
    <x v="26"/>
    <d v="2024-02-11T00:00:00"/>
    <d v="2024-02-12T00:00:00"/>
    <x v="3"/>
    <x v="5"/>
    <s v="January"/>
    <x v="0"/>
    <x v="3"/>
    <x v="0"/>
    <x v="2"/>
    <n v="1338.07"/>
    <n v="1"/>
    <n v="0"/>
    <s v="No"/>
    <n v="0"/>
    <x v="0"/>
    <n v="1"/>
  </r>
  <r>
    <s v="BK00123"/>
    <s v="CUST5135"/>
    <x v="26"/>
    <d v="2024-02-23T00:00:00"/>
    <d v="2024-02-27T00:00:00"/>
    <x v="3"/>
    <x v="5"/>
    <s v="January"/>
    <x v="1"/>
    <x v="3"/>
    <x v="0"/>
    <x v="3"/>
    <n v="244.77"/>
    <n v="4"/>
    <n v="15"/>
    <s v="Yes"/>
    <n v="1"/>
    <x v="0"/>
    <n v="1"/>
  </r>
  <r>
    <s v="BK00331"/>
    <s v="CUST3535"/>
    <x v="26"/>
    <d v="2024-02-24T00:00:00"/>
    <d v="2024-02-29T00:00:00"/>
    <x v="3"/>
    <x v="5"/>
    <s v="January"/>
    <x v="0"/>
    <x v="3"/>
    <x v="1"/>
    <x v="0"/>
    <n v="349.52"/>
    <n v="5"/>
    <n v="15"/>
    <s v="Yes"/>
    <n v="1"/>
    <x v="1"/>
    <n v="0"/>
  </r>
  <r>
    <s v="BK00366"/>
    <s v="CUST3562"/>
    <x v="26"/>
    <d v="2024-02-01T00:00:00"/>
    <d v="2024-02-11T00:00:00"/>
    <x v="3"/>
    <x v="5"/>
    <s v="January"/>
    <x v="1"/>
    <x v="1"/>
    <x v="1"/>
    <x v="0"/>
    <n v="904.72"/>
    <n v="10"/>
    <n v="15"/>
    <s v="Yes"/>
    <n v="1"/>
    <x v="1"/>
    <n v="0"/>
  </r>
  <r>
    <s v="BK00033"/>
    <s v="CUST9894"/>
    <x v="27"/>
    <d v="2024-02-09T00:00:00"/>
    <d v="2024-02-17T00:00:00"/>
    <x v="4"/>
    <x v="6"/>
    <s v="January"/>
    <x v="1"/>
    <x v="2"/>
    <x v="2"/>
    <x v="2"/>
    <n v="761.26"/>
    <n v="8"/>
    <n v="0"/>
    <s v="No"/>
    <n v="0"/>
    <x v="0"/>
    <n v="1"/>
  </r>
  <r>
    <s v="BK00230"/>
    <s v="CUST6306"/>
    <x v="27"/>
    <d v="2024-02-05T00:00:00"/>
    <d v="2024-02-09T00:00:00"/>
    <x v="4"/>
    <x v="6"/>
    <s v="January"/>
    <x v="0"/>
    <x v="0"/>
    <x v="3"/>
    <x v="1"/>
    <n v="1266.67"/>
    <n v="4"/>
    <n v="5"/>
    <s v="Yes"/>
    <n v="1"/>
    <x v="1"/>
    <n v="0"/>
  </r>
  <r>
    <s v="BK00295"/>
    <s v="CUST5636"/>
    <x v="27"/>
    <d v="2024-02-13T00:00:00"/>
    <d v="2024-02-22T00:00:00"/>
    <x v="4"/>
    <x v="6"/>
    <s v="January"/>
    <x v="2"/>
    <x v="2"/>
    <x v="4"/>
    <x v="3"/>
    <n v="243.39"/>
    <n v="9"/>
    <n v="25"/>
    <s v="Yes"/>
    <n v="1"/>
    <x v="1"/>
    <n v="0"/>
  </r>
  <r>
    <s v="BK00337"/>
    <s v="CUST3431"/>
    <x v="27"/>
    <d v="2024-01-29T00:00:00"/>
    <d v="2024-02-01T00:00:00"/>
    <x v="4"/>
    <x v="6"/>
    <s v="January"/>
    <x v="2"/>
    <x v="3"/>
    <x v="0"/>
    <x v="3"/>
    <n v="990.53"/>
    <n v="3"/>
    <n v="15"/>
    <s v="Yes"/>
    <n v="1"/>
    <x v="1"/>
    <n v="0"/>
  </r>
  <r>
    <s v="BK00364"/>
    <s v="CUST6219"/>
    <x v="27"/>
    <d v="2024-02-21T00:00:00"/>
    <d v="2024-02-23T00:00:00"/>
    <x v="4"/>
    <x v="6"/>
    <s v="January"/>
    <x v="0"/>
    <x v="3"/>
    <x v="5"/>
    <x v="2"/>
    <n v="1095.7"/>
    <n v="2"/>
    <n v="5"/>
    <s v="Yes"/>
    <n v="1"/>
    <x v="1"/>
    <n v="0"/>
  </r>
  <r>
    <s v="BK00487"/>
    <s v="CUST1590"/>
    <x v="27"/>
    <d v="2024-02-13T00:00:00"/>
    <d v="2024-02-14T00:00:00"/>
    <x v="4"/>
    <x v="6"/>
    <s v="January"/>
    <x v="1"/>
    <x v="2"/>
    <x v="0"/>
    <x v="3"/>
    <n v="1043.8399999999999"/>
    <n v="1"/>
    <n v="15"/>
    <s v="Yes"/>
    <n v="1"/>
    <x v="0"/>
    <n v="1"/>
  </r>
  <r>
    <s v="BK00021"/>
    <s v="CUST9647"/>
    <x v="28"/>
    <d v="2024-02-07T00:00:00"/>
    <d v="2024-02-15T00:00:00"/>
    <x v="4"/>
    <x v="0"/>
    <s v="January"/>
    <x v="2"/>
    <x v="0"/>
    <x v="0"/>
    <x v="2"/>
    <n v="1295.23"/>
    <n v="8"/>
    <n v="25"/>
    <s v="Yes"/>
    <n v="1"/>
    <x v="1"/>
    <n v="0"/>
  </r>
  <r>
    <s v="BK00058"/>
    <s v="CUST2249"/>
    <x v="28"/>
    <d v="2024-02-03T00:00:00"/>
    <d v="2024-02-11T00:00:00"/>
    <x v="4"/>
    <x v="0"/>
    <s v="January"/>
    <x v="0"/>
    <x v="3"/>
    <x v="2"/>
    <x v="0"/>
    <n v="1409.73"/>
    <n v="8"/>
    <n v="5"/>
    <s v="Yes"/>
    <n v="1"/>
    <x v="1"/>
    <n v="0"/>
  </r>
  <r>
    <s v="BK00101"/>
    <s v="CUST1982"/>
    <x v="28"/>
    <d v="2024-02-14T00:00:00"/>
    <d v="2024-02-23T00:00:00"/>
    <x v="4"/>
    <x v="0"/>
    <s v="January"/>
    <x v="2"/>
    <x v="0"/>
    <x v="2"/>
    <x v="1"/>
    <n v="1336.46"/>
    <n v="9"/>
    <n v="25"/>
    <s v="Yes"/>
    <n v="1"/>
    <x v="1"/>
    <n v="0"/>
  </r>
  <r>
    <s v="BK00127"/>
    <s v="CUST5414"/>
    <x v="28"/>
    <d v="2024-02-07T00:00:00"/>
    <d v="2024-02-12T00:00:00"/>
    <x v="4"/>
    <x v="0"/>
    <s v="January"/>
    <x v="0"/>
    <x v="1"/>
    <x v="3"/>
    <x v="3"/>
    <n v="1342.28"/>
    <n v="5"/>
    <n v="0"/>
    <s v="No"/>
    <n v="0"/>
    <x v="0"/>
    <n v="1"/>
  </r>
  <r>
    <s v="BK00424"/>
    <s v="CUST3943"/>
    <x v="28"/>
    <d v="2024-02-17T00:00:00"/>
    <d v="2024-02-19T00:00:00"/>
    <x v="4"/>
    <x v="0"/>
    <s v="January"/>
    <x v="0"/>
    <x v="0"/>
    <x v="1"/>
    <x v="3"/>
    <n v="966.37"/>
    <n v="2"/>
    <n v="15"/>
    <s v="Yes"/>
    <n v="1"/>
    <x v="1"/>
    <n v="0"/>
  </r>
  <r>
    <s v="BK00457"/>
    <s v="CUST4412"/>
    <x v="28"/>
    <d v="2024-02-20T00:00:00"/>
    <d v="2024-02-23T00:00:00"/>
    <x v="4"/>
    <x v="0"/>
    <s v="January"/>
    <x v="0"/>
    <x v="1"/>
    <x v="4"/>
    <x v="0"/>
    <n v="146.69999999999999"/>
    <n v="3"/>
    <n v="20"/>
    <s v="Yes"/>
    <n v="1"/>
    <x v="0"/>
    <n v="1"/>
  </r>
  <r>
    <s v="BK00469"/>
    <s v="CUST1514"/>
    <x v="28"/>
    <d v="2024-02-27T00:00:00"/>
    <d v="2024-03-02T00:00:00"/>
    <x v="4"/>
    <x v="0"/>
    <s v="January"/>
    <x v="0"/>
    <x v="3"/>
    <x v="2"/>
    <x v="1"/>
    <n v="1288.57"/>
    <n v="4"/>
    <n v="10"/>
    <s v="Yes"/>
    <n v="1"/>
    <x v="1"/>
    <n v="0"/>
  </r>
  <r>
    <s v="BK00001"/>
    <s v="CUST2856"/>
    <x v="29"/>
    <d v="2024-02-22T00:00:00"/>
    <d v="2024-02-29T00:00:00"/>
    <x v="4"/>
    <x v="1"/>
    <s v="January"/>
    <x v="2"/>
    <x v="0"/>
    <x v="5"/>
    <x v="3"/>
    <n v="510.03"/>
    <n v="7"/>
    <n v="5"/>
    <s v="Yes"/>
    <n v="1"/>
    <x v="0"/>
    <n v="1"/>
  </r>
  <r>
    <s v="BK00046"/>
    <s v="CUST1190"/>
    <x v="29"/>
    <d v="2024-02-23T00:00:00"/>
    <d v="2024-02-27T00:00:00"/>
    <x v="4"/>
    <x v="1"/>
    <s v="January"/>
    <x v="2"/>
    <x v="1"/>
    <x v="4"/>
    <x v="2"/>
    <n v="1137.07"/>
    <n v="4"/>
    <n v="0"/>
    <s v="No"/>
    <n v="0"/>
    <x v="0"/>
    <n v="1"/>
  </r>
  <r>
    <s v="BK00140"/>
    <s v="CUST4846"/>
    <x v="29"/>
    <d v="2024-02-27T00:00:00"/>
    <d v="2024-03-02T00:00:00"/>
    <x v="4"/>
    <x v="1"/>
    <s v="January"/>
    <x v="2"/>
    <x v="2"/>
    <x v="5"/>
    <x v="1"/>
    <n v="189.15"/>
    <n v="4"/>
    <n v="0"/>
    <s v="No"/>
    <n v="0"/>
    <x v="1"/>
    <n v="0"/>
  </r>
  <r>
    <s v="BK00233"/>
    <s v="CUST4647"/>
    <x v="29"/>
    <d v="2024-02-08T00:00:00"/>
    <d v="2024-02-13T00:00:00"/>
    <x v="4"/>
    <x v="1"/>
    <s v="January"/>
    <x v="2"/>
    <x v="2"/>
    <x v="3"/>
    <x v="1"/>
    <n v="1042.3699999999999"/>
    <n v="5"/>
    <n v="15"/>
    <s v="Yes"/>
    <n v="1"/>
    <x v="0"/>
    <n v="1"/>
  </r>
  <r>
    <s v="BK00239"/>
    <s v="CUST4036"/>
    <x v="29"/>
    <d v="2024-02-24T00:00:00"/>
    <d v="2024-03-01T00:00:00"/>
    <x v="4"/>
    <x v="1"/>
    <s v="January"/>
    <x v="2"/>
    <x v="2"/>
    <x v="0"/>
    <x v="1"/>
    <n v="595.29999999999995"/>
    <n v="6"/>
    <n v="5"/>
    <s v="Yes"/>
    <n v="1"/>
    <x v="0"/>
    <n v="1"/>
  </r>
  <r>
    <s v="BK00051"/>
    <s v="CUST9384"/>
    <x v="30"/>
    <d v="2024-02-22T00:00:00"/>
    <d v="2024-02-28T00:00:00"/>
    <x v="4"/>
    <x v="2"/>
    <s v="January"/>
    <x v="1"/>
    <x v="0"/>
    <x v="1"/>
    <x v="1"/>
    <n v="413.42"/>
    <n v="6"/>
    <n v="25"/>
    <s v="Yes"/>
    <n v="1"/>
    <x v="0"/>
    <n v="1"/>
  </r>
  <r>
    <s v="BK00095"/>
    <s v="CUST2587"/>
    <x v="30"/>
    <d v="2024-02-20T00:00:00"/>
    <d v="2024-02-29T00:00:00"/>
    <x v="4"/>
    <x v="2"/>
    <s v="January"/>
    <x v="0"/>
    <x v="0"/>
    <x v="0"/>
    <x v="1"/>
    <n v="1178.2"/>
    <n v="9"/>
    <n v="15"/>
    <s v="Yes"/>
    <n v="1"/>
    <x v="1"/>
    <n v="0"/>
  </r>
  <r>
    <s v="BK00117"/>
    <s v="CUST8334"/>
    <x v="30"/>
    <d v="2024-02-03T00:00:00"/>
    <d v="2024-02-04T00:00:00"/>
    <x v="4"/>
    <x v="2"/>
    <s v="January"/>
    <x v="1"/>
    <x v="2"/>
    <x v="3"/>
    <x v="2"/>
    <n v="645.33000000000004"/>
    <n v="1"/>
    <n v="15"/>
    <s v="Yes"/>
    <n v="1"/>
    <x v="0"/>
    <n v="1"/>
  </r>
  <r>
    <s v="BK00213"/>
    <s v="CUST6721"/>
    <x v="30"/>
    <d v="2024-02-27T00:00:00"/>
    <d v="2024-03-06T00:00:00"/>
    <x v="4"/>
    <x v="2"/>
    <s v="January"/>
    <x v="1"/>
    <x v="3"/>
    <x v="5"/>
    <x v="1"/>
    <n v="633.85"/>
    <n v="8"/>
    <n v="15"/>
    <s v="Yes"/>
    <n v="1"/>
    <x v="1"/>
    <n v="0"/>
  </r>
  <r>
    <s v="BK00302"/>
    <s v="CUST7847"/>
    <x v="30"/>
    <d v="2024-02-09T00:00:00"/>
    <d v="2024-02-17T00:00:00"/>
    <x v="4"/>
    <x v="2"/>
    <s v="January"/>
    <x v="1"/>
    <x v="0"/>
    <x v="1"/>
    <x v="3"/>
    <n v="902.6"/>
    <n v="8"/>
    <n v="10"/>
    <s v="Yes"/>
    <n v="1"/>
    <x v="0"/>
    <n v="1"/>
  </r>
  <r>
    <s v="BK00318"/>
    <s v="CUST1385"/>
    <x v="30"/>
    <d v="2024-02-23T00:00:00"/>
    <d v="2024-02-28T00:00:00"/>
    <x v="4"/>
    <x v="2"/>
    <s v="January"/>
    <x v="2"/>
    <x v="2"/>
    <x v="0"/>
    <x v="2"/>
    <n v="759.58"/>
    <n v="5"/>
    <n v="20"/>
    <s v="Yes"/>
    <n v="1"/>
    <x v="0"/>
    <n v="1"/>
  </r>
  <r>
    <s v="BK00420"/>
    <s v="CUST5868"/>
    <x v="30"/>
    <d v="2024-02-20T00:00:00"/>
    <d v="2024-02-26T00:00:00"/>
    <x v="4"/>
    <x v="2"/>
    <s v="January"/>
    <x v="1"/>
    <x v="0"/>
    <x v="1"/>
    <x v="3"/>
    <n v="1404.69"/>
    <n v="6"/>
    <n v="5"/>
    <s v="Yes"/>
    <n v="1"/>
    <x v="0"/>
    <n v="1"/>
  </r>
  <r>
    <s v="BK00491"/>
    <s v="CUST7770"/>
    <x v="30"/>
    <d v="2024-02-13T00:00:00"/>
    <d v="2024-02-22T00:00:00"/>
    <x v="4"/>
    <x v="2"/>
    <s v="January"/>
    <x v="2"/>
    <x v="3"/>
    <x v="0"/>
    <x v="0"/>
    <n v="613.37"/>
    <n v="9"/>
    <n v="5"/>
    <s v="Yes"/>
    <n v="1"/>
    <x v="1"/>
    <n v="0"/>
  </r>
  <r>
    <s v="BK00029"/>
    <s v="CUST8683"/>
    <x v="31"/>
    <d v="2024-02-19T00:00:00"/>
    <d v="2024-02-21T00:00:00"/>
    <x v="0"/>
    <x v="3"/>
    <s v="February"/>
    <x v="1"/>
    <x v="0"/>
    <x v="1"/>
    <x v="3"/>
    <n v="1369.05"/>
    <n v="2"/>
    <n v="20"/>
    <s v="Yes"/>
    <n v="1"/>
    <x v="0"/>
    <n v="1"/>
  </r>
  <r>
    <s v="BK00154"/>
    <s v="CUST6015"/>
    <x v="31"/>
    <d v="2024-02-14T00:00:00"/>
    <d v="2024-02-23T00:00:00"/>
    <x v="0"/>
    <x v="3"/>
    <s v="February"/>
    <x v="0"/>
    <x v="2"/>
    <x v="2"/>
    <x v="3"/>
    <n v="549.1"/>
    <n v="9"/>
    <n v="10"/>
    <s v="Yes"/>
    <n v="1"/>
    <x v="1"/>
    <n v="0"/>
  </r>
  <r>
    <s v="BK00193"/>
    <s v="CUST6357"/>
    <x v="31"/>
    <d v="2024-03-01T00:00:00"/>
    <d v="2024-03-09T00:00:00"/>
    <x v="0"/>
    <x v="3"/>
    <s v="February"/>
    <x v="2"/>
    <x v="1"/>
    <x v="4"/>
    <x v="3"/>
    <n v="728.04"/>
    <n v="8"/>
    <n v="15"/>
    <s v="Yes"/>
    <n v="1"/>
    <x v="1"/>
    <n v="0"/>
  </r>
  <r>
    <s v="BK00278"/>
    <s v="CUST3717"/>
    <x v="31"/>
    <d v="2024-02-25T00:00:00"/>
    <d v="2024-02-27T00:00:00"/>
    <x v="0"/>
    <x v="3"/>
    <s v="February"/>
    <x v="1"/>
    <x v="3"/>
    <x v="1"/>
    <x v="2"/>
    <n v="119.82"/>
    <n v="2"/>
    <n v="15"/>
    <s v="Yes"/>
    <n v="1"/>
    <x v="1"/>
    <n v="0"/>
  </r>
  <r>
    <s v="BK00294"/>
    <s v="CUST4616"/>
    <x v="31"/>
    <d v="2024-02-05T00:00:00"/>
    <d v="2024-02-09T00:00:00"/>
    <x v="0"/>
    <x v="3"/>
    <s v="February"/>
    <x v="2"/>
    <x v="2"/>
    <x v="0"/>
    <x v="1"/>
    <n v="290.5"/>
    <n v="4"/>
    <n v="20"/>
    <s v="Yes"/>
    <n v="1"/>
    <x v="0"/>
    <n v="1"/>
  </r>
  <r>
    <s v="BK00300"/>
    <s v="CUST6473"/>
    <x v="31"/>
    <d v="2024-03-01T00:00:00"/>
    <d v="2024-03-07T00:00:00"/>
    <x v="0"/>
    <x v="3"/>
    <s v="February"/>
    <x v="2"/>
    <x v="0"/>
    <x v="0"/>
    <x v="0"/>
    <n v="1482.83"/>
    <n v="6"/>
    <n v="25"/>
    <s v="Yes"/>
    <n v="1"/>
    <x v="1"/>
    <n v="0"/>
  </r>
  <r>
    <s v="BK00373"/>
    <s v="CUST4340"/>
    <x v="31"/>
    <d v="2024-02-26T00:00:00"/>
    <d v="2024-03-03T00:00:00"/>
    <x v="0"/>
    <x v="3"/>
    <s v="February"/>
    <x v="0"/>
    <x v="2"/>
    <x v="0"/>
    <x v="0"/>
    <n v="886.71"/>
    <n v="6"/>
    <n v="20"/>
    <s v="Yes"/>
    <n v="1"/>
    <x v="1"/>
    <n v="0"/>
  </r>
  <r>
    <s v="BK00008"/>
    <s v="CUST1235"/>
    <x v="32"/>
    <d v="2024-02-29T00:00:00"/>
    <d v="2024-03-06T00:00:00"/>
    <x v="0"/>
    <x v="4"/>
    <s v="February"/>
    <x v="2"/>
    <x v="1"/>
    <x v="0"/>
    <x v="0"/>
    <n v="1465.74"/>
    <n v="6"/>
    <n v="5"/>
    <s v="Yes"/>
    <n v="1"/>
    <x v="1"/>
    <n v="0"/>
  </r>
  <r>
    <s v="BK00067"/>
    <s v="CUST5327"/>
    <x v="32"/>
    <d v="2024-02-03T00:00:00"/>
    <d v="2024-02-07T00:00:00"/>
    <x v="0"/>
    <x v="4"/>
    <s v="February"/>
    <x v="2"/>
    <x v="1"/>
    <x v="2"/>
    <x v="1"/>
    <n v="1091.1500000000001"/>
    <n v="4"/>
    <n v="20"/>
    <s v="Yes"/>
    <n v="1"/>
    <x v="1"/>
    <n v="0"/>
  </r>
  <r>
    <s v="BK00113"/>
    <s v="CUST5370"/>
    <x v="32"/>
    <d v="2024-02-05T00:00:00"/>
    <d v="2024-02-07T00:00:00"/>
    <x v="0"/>
    <x v="4"/>
    <s v="February"/>
    <x v="0"/>
    <x v="1"/>
    <x v="1"/>
    <x v="0"/>
    <n v="1315.11"/>
    <n v="2"/>
    <n v="15"/>
    <s v="Yes"/>
    <n v="1"/>
    <x v="1"/>
    <n v="0"/>
  </r>
  <r>
    <s v="BK00187"/>
    <s v="CUST1703"/>
    <x v="32"/>
    <d v="2024-02-23T00:00:00"/>
    <d v="2024-02-28T00:00:00"/>
    <x v="0"/>
    <x v="4"/>
    <s v="February"/>
    <x v="2"/>
    <x v="1"/>
    <x v="0"/>
    <x v="1"/>
    <n v="466.08"/>
    <n v="5"/>
    <n v="5"/>
    <s v="Yes"/>
    <n v="1"/>
    <x v="1"/>
    <n v="0"/>
  </r>
  <r>
    <s v="BK00281"/>
    <s v="CUST9627"/>
    <x v="32"/>
    <d v="2024-02-22T00:00:00"/>
    <d v="2024-02-28T00:00:00"/>
    <x v="0"/>
    <x v="4"/>
    <s v="February"/>
    <x v="1"/>
    <x v="1"/>
    <x v="2"/>
    <x v="2"/>
    <n v="1239.6300000000001"/>
    <n v="6"/>
    <n v="10"/>
    <s v="Yes"/>
    <n v="1"/>
    <x v="1"/>
    <n v="0"/>
  </r>
  <r>
    <s v="BK00438"/>
    <s v="CUST2372"/>
    <x v="32"/>
    <d v="2024-03-01T00:00:00"/>
    <d v="2024-03-07T00:00:00"/>
    <x v="0"/>
    <x v="4"/>
    <s v="February"/>
    <x v="1"/>
    <x v="2"/>
    <x v="2"/>
    <x v="0"/>
    <n v="1020.14"/>
    <n v="6"/>
    <n v="20"/>
    <s v="Yes"/>
    <n v="1"/>
    <x v="1"/>
    <n v="0"/>
  </r>
  <r>
    <s v="BK00456"/>
    <s v="CUST7832"/>
    <x v="32"/>
    <d v="2024-02-04T00:00:00"/>
    <d v="2024-02-12T00:00:00"/>
    <x v="0"/>
    <x v="4"/>
    <s v="February"/>
    <x v="2"/>
    <x v="1"/>
    <x v="4"/>
    <x v="1"/>
    <n v="554.23"/>
    <n v="8"/>
    <n v="25"/>
    <s v="Yes"/>
    <n v="1"/>
    <x v="0"/>
    <n v="1"/>
  </r>
  <r>
    <s v="BK00136"/>
    <s v="CUST9752"/>
    <x v="33"/>
    <d v="2024-02-28T00:00:00"/>
    <d v="2024-03-02T00:00:00"/>
    <x v="0"/>
    <x v="5"/>
    <s v="February"/>
    <x v="0"/>
    <x v="1"/>
    <x v="4"/>
    <x v="0"/>
    <n v="776.77"/>
    <n v="3"/>
    <n v="0"/>
    <s v="No"/>
    <n v="0"/>
    <x v="1"/>
    <n v="0"/>
  </r>
  <r>
    <s v="BK00191"/>
    <s v="CUST4064"/>
    <x v="33"/>
    <d v="2024-02-09T00:00:00"/>
    <d v="2024-02-14T00:00:00"/>
    <x v="0"/>
    <x v="5"/>
    <s v="February"/>
    <x v="1"/>
    <x v="1"/>
    <x v="1"/>
    <x v="1"/>
    <n v="1404.46"/>
    <n v="5"/>
    <n v="25"/>
    <s v="Yes"/>
    <n v="1"/>
    <x v="0"/>
    <n v="1"/>
  </r>
  <r>
    <s v="BK00247"/>
    <s v="CUST7914"/>
    <x v="33"/>
    <d v="2024-02-18T00:00:00"/>
    <d v="2024-02-27T00:00:00"/>
    <x v="0"/>
    <x v="5"/>
    <s v="February"/>
    <x v="1"/>
    <x v="3"/>
    <x v="4"/>
    <x v="1"/>
    <n v="537.25"/>
    <n v="9"/>
    <n v="20"/>
    <s v="Yes"/>
    <n v="1"/>
    <x v="1"/>
    <n v="0"/>
  </r>
  <r>
    <s v="BK00449"/>
    <s v="CUST3909"/>
    <x v="33"/>
    <d v="2024-02-17T00:00:00"/>
    <d v="2024-02-19T00:00:00"/>
    <x v="0"/>
    <x v="5"/>
    <s v="February"/>
    <x v="0"/>
    <x v="1"/>
    <x v="0"/>
    <x v="2"/>
    <n v="1277.8599999999999"/>
    <n v="2"/>
    <n v="25"/>
    <s v="Yes"/>
    <n v="1"/>
    <x v="0"/>
    <n v="1"/>
  </r>
  <r>
    <s v="BK00485"/>
    <s v="CUST3437"/>
    <x v="33"/>
    <d v="2024-02-04T00:00:00"/>
    <d v="2024-02-14T00:00:00"/>
    <x v="0"/>
    <x v="5"/>
    <s v="February"/>
    <x v="1"/>
    <x v="0"/>
    <x v="0"/>
    <x v="3"/>
    <n v="736.76"/>
    <n v="10"/>
    <n v="25"/>
    <s v="Yes"/>
    <n v="1"/>
    <x v="1"/>
    <n v="0"/>
  </r>
  <r>
    <s v="BK00500"/>
    <s v="CUST1035"/>
    <x v="33"/>
    <d v="2024-02-10T00:00:00"/>
    <d v="2024-02-16T00:00:00"/>
    <x v="0"/>
    <x v="5"/>
    <s v="February"/>
    <x v="2"/>
    <x v="2"/>
    <x v="3"/>
    <x v="0"/>
    <n v="1152.3"/>
    <n v="6"/>
    <n v="15"/>
    <s v="Yes"/>
    <n v="1"/>
    <x v="0"/>
    <n v="1"/>
  </r>
  <r>
    <s v="BK00062"/>
    <s v="CUST9867"/>
    <x v="34"/>
    <d v="2024-02-22T00:00:00"/>
    <d v="2024-02-27T00:00:00"/>
    <x v="1"/>
    <x v="0"/>
    <s v="February"/>
    <x v="1"/>
    <x v="2"/>
    <x v="5"/>
    <x v="1"/>
    <n v="1461.83"/>
    <n v="5"/>
    <n v="10"/>
    <s v="Yes"/>
    <n v="1"/>
    <x v="1"/>
    <n v="0"/>
  </r>
  <r>
    <s v="BK00103"/>
    <s v="CUST3855"/>
    <x v="34"/>
    <d v="2024-02-07T00:00:00"/>
    <d v="2024-02-09T00:00:00"/>
    <x v="1"/>
    <x v="0"/>
    <s v="February"/>
    <x v="1"/>
    <x v="0"/>
    <x v="0"/>
    <x v="1"/>
    <n v="148.47"/>
    <n v="2"/>
    <n v="10"/>
    <s v="Yes"/>
    <n v="1"/>
    <x v="1"/>
    <n v="0"/>
  </r>
  <r>
    <s v="BK00276"/>
    <s v="CUST1842"/>
    <x v="34"/>
    <d v="2024-03-02T00:00:00"/>
    <d v="2024-03-11T00:00:00"/>
    <x v="1"/>
    <x v="0"/>
    <s v="February"/>
    <x v="0"/>
    <x v="0"/>
    <x v="1"/>
    <x v="3"/>
    <n v="145.55000000000001"/>
    <n v="9"/>
    <n v="15"/>
    <s v="Yes"/>
    <n v="1"/>
    <x v="0"/>
    <n v="1"/>
  </r>
  <r>
    <s v="BK00297"/>
    <s v="CUST7783"/>
    <x v="34"/>
    <d v="2024-02-11T00:00:00"/>
    <d v="2024-02-18T00:00:00"/>
    <x v="1"/>
    <x v="0"/>
    <s v="February"/>
    <x v="2"/>
    <x v="2"/>
    <x v="3"/>
    <x v="2"/>
    <n v="148.94999999999999"/>
    <n v="7"/>
    <n v="0"/>
    <s v="No"/>
    <n v="0"/>
    <x v="0"/>
    <n v="1"/>
  </r>
  <r>
    <s v="BK00391"/>
    <s v="CUST7218"/>
    <x v="34"/>
    <d v="2024-02-07T00:00:00"/>
    <d v="2024-02-13T00:00:00"/>
    <x v="1"/>
    <x v="0"/>
    <s v="February"/>
    <x v="1"/>
    <x v="2"/>
    <x v="1"/>
    <x v="0"/>
    <n v="585.65"/>
    <n v="6"/>
    <n v="25"/>
    <s v="Yes"/>
    <n v="1"/>
    <x v="1"/>
    <n v="0"/>
  </r>
  <r>
    <s v="BK00495"/>
    <s v="CUST1000"/>
    <x v="34"/>
    <d v="2024-02-28T00:00:00"/>
    <d v="2024-03-07T00:00:00"/>
    <x v="1"/>
    <x v="0"/>
    <s v="February"/>
    <x v="1"/>
    <x v="2"/>
    <x v="2"/>
    <x v="0"/>
    <n v="792.43"/>
    <n v="8"/>
    <n v="5"/>
    <s v="Yes"/>
    <n v="1"/>
    <x v="1"/>
    <n v="0"/>
  </r>
  <r>
    <s v="BK00085"/>
    <s v="CUST3663"/>
    <x v="35"/>
    <d v="2024-02-23T00:00:00"/>
    <d v="2024-02-24T00:00:00"/>
    <x v="1"/>
    <x v="1"/>
    <s v="February"/>
    <x v="1"/>
    <x v="1"/>
    <x v="1"/>
    <x v="1"/>
    <n v="182.41"/>
    <n v="1"/>
    <n v="5"/>
    <s v="Yes"/>
    <n v="1"/>
    <x v="1"/>
    <n v="0"/>
  </r>
  <r>
    <s v="BK00234"/>
    <s v="CUST1307"/>
    <x v="35"/>
    <d v="2024-02-18T00:00:00"/>
    <d v="2024-02-28T00:00:00"/>
    <x v="1"/>
    <x v="1"/>
    <s v="February"/>
    <x v="0"/>
    <x v="3"/>
    <x v="3"/>
    <x v="2"/>
    <n v="348.21"/>
    <n v="10"/>
    <n v="20"/>
    <s v="Yes"/>
    <n v="1"/>
    <x v="1"/>
    <n v="0"/>
  </r>
  <r>
    <s v="BK00251"/>
    <s v="CUST9867"/>
    <x v="35"/>
    <d v="2024-02-25T00:00:00"/>
    <d v="2024-03-05T00:00:00"/>
    <x v="1"/>
    <x v="1"/>
    <s v="February"/>
    <x v="1"/>
    <x v="3"/>
    <x v="5"/>
    <x v="0"/>
    <n v="751.5"/>
    <n v="9"/>
    <n v="10"/>
    <s v="Yes"/>
    <n v="1"/>
    <x v="0"/>
    <n v="1"/>
  </r>
  <r>
    <s v="BK00363"/>
    <s v="CUST9187"/>
    <x v="35"/>
    <d v="2024-02-21T00:00:00"/>
    <d v="2024-02-23T00:00:00"/>
    <x v="1"/>
    <x v="1"/>
    <s v="February"/>
    <x v="1"/>
    <x v="1"/>
    <x v="1"/>
    <x v="3"/>
    <n v="269.92"/>
    <n v="2"/>
    <n v="5"/>
    <s v="Yes"/>
    <n v="1"/>
    <x v="1"/>
    <n v="0"/>
  </r>
  <r>
    <s v="BK00378"/>
    <s v="CUST7706"/>
    <x v="35"/>
    <d v="2024-02-20T00:00:00"/>
    <d v="2024-02-25T00:00:00"/>
    <x v="1"/>
    <x v="1"/>
    <s v="February"/>
    <x v="2"/>
    <x v="3"/>
    <x v="4"/>
    <x v="2"/>
    <n v="661.38"/>
    <n v="5"/>
    <n v="10"/>
    <s v="Yes"/>
    <n v="1"/>
    <x v="0"/>
    <n v="1"/>
  </r>
  <r>
    <s v="BK00481"/>
    <s v="CUST1954"/>
    <x v="35"/>
    <d v="2024-02-11T00:00:00"/>
    <d v="2024-02-17T00:00:00"/>
    <x v="1"/>
    <x v="1"/>
    <s v="February"/>
    <x v="0"/>
    <x v="1"/>
    <x v="1"/>
    <x v="3"/>
    <n v="1306.6400000000001"/>
    <n v="6"/>
    <n v="20"/>
    <s v="Yes"/>
    <n v="1"/>
    <x v="0"/>
    <n v="1"/>
  </r>
  <r>
    <s v="BK00031"/>
    <s v="CUST7967"/>
    <x v="36"/>
    <d v="2024-02-16T00:00:00"/>
    <d v="2024-02-26T00:00:00"/>
    <x v="1"/>
    <x v="2"/>
    <s v="February"/>
    <x v="1"/>
    <x v="2"/>
    <x v="5"/>
    <x v="1"/>
    <n v="1071.95"/>
    <n v="10"/>
    <n v="15"/>
    <s v="Yes"/>
    <n v="1"/>
    <x v="0"/>
    <n v="1"/>
  </r>
  <r>
    <s v="BK00055"/>
    <s v="CUST4595"/>
    <x v="36"/>
    <d v="2024-03-07T00:00:00"/>
    <d v="2024-03-08T00:00:00"/>
    <x v="1"/>
    <x v="2"/>
    <s v="February"/>
    <x v="2"/>
    <x v="0"/>
    <x v="2"/>
    <x v="1"/>
    <n v="1095.8"/>
    <n v="1"/>
    <n v="5"/>
    <s v="Yes"/>
    <n v="1"/>
    <x v="0"/>
    <n v="1"/>
  </r>
  <r>
    <s v="BK00081"/>
    <s v="CUST5400"/>
    <x v="36"/>
    <d v="2024-03-01T00:00:00"/>
    <d v="2024-03-10T00:00:00"/>
    <x v="1"/>
    <x v="2"/>
    <s v="February"/>
    <x v="2"/>
    <x v="3"/>
    <x v="2"/>
    <x v="1"/>
    <n v="1277.6099999999999"/>
    <n v="9"/>
    <n v="5"/>
    <s v="Yes"/>
    <n v="1"/>
    <x v="1"/>
    <n v="0"/>
  </r>
  <r>
    <s v="BK00141"/>
    <s v="CUST3189"/>
    <x v="36"/>
    <d v="2024-03-01T00:00:00"/>
    <d v="2024-03-02T00:00:00"/>
    <x v="1"/>
    <x v="2"/>
    <s v="February"/>
    <x v="0"/>
    <x v="2"/>
    <x v="0"/>
    <x v="1"/>
    <n v="586.80999999999995"/>
    <n v="1"/>
    <n v="5"/>
    <s v="Yes"/>
    <n v="1"/>
    <x v="1"/>
    <n v="0"/>
  </r>
  <r>
    <s v="BK00163"/>
    <s v="CUST5632"/>
    <x v="36"/>
    <d v="2024-02-23T00:00:00"/>
    <d v="2024-03-04T00:00:00"/>
    <x v="1"/>
    <x v="2"/>
    <s v="February"/>
    <x v="0"/>
    <x v="1"/>
    <x v="1"/>
    <x v="1"/>
    <n v="982.34"/>
    <n v="10"/>
    <n v="5"/>
    <s v="Yes"/>
    <n v="1"/>
    <x v="0"/>
    <n v="1"/>
  </r>
  <r>
    <s v="BK00413"/>
    <s v="CUST7498"/>
    <x v="36"/>
    <d v="2024-02-26T00:00:00"/>
    <d v="2024-02-29T00:00:00"/>
    <x v="1"/>
    <x v="2"/>
    <s v="February"/>
    <x v="2"/>
    <x v="3"/>
    <x v="1"/>
    <x v="2"/>
    <n v="413.61"/>
    <n v="3"/>
    <n v="25"/>
    <s v="Yes"/>
    <n v="1"/>
    <x v="0"/>
    <n v="1"/>
  </r>
  <r>
    <s v="BK00076"/>
    <s v="CUST4531"/>
    <x v="37"/>
    <d v="2024-03-01T00:00:00"/>
    <d v="2024-03-08T00:00:00"/>
    <x v="1"/>
    <x v="3"/>
    <s v="February"/>
    <x v="1"/>
    <x v="3"/>
    <x v="1"/>
    <x v="0"/>
    <n v="990.36"/>
    <n v="7"/>
    <n v="5"/>
    <s v="Yes"/>
    <n v="1"/>
    <x v="0"/>
    <n v="1"/>
  </r>
  <r>
    <s v="BK00275"/>
    <s v="CUST6447"/>
    <x v="37"/>
    <d v="2024-03-09T00:00:00"/>
    <d v="2024-03-12T00:00:00"/>
    <x v="1"/>
    <x v="3"/>
    <s v="February"/>
    <x v="0"/>
    <x v="1"/>
    <x v="5"/>
    <x v="1"/>
    <n v="699.13"/>
    <n v="3"/>
    <n v="0"/>
    <s v="No"/>
    <n v="0"/>
    <x v="1"/>
    <n v="0"/>
  </r>
  <r>
    <s v="BK00380"/>
    <s v="CUST8985"/>
    <x v="37"/>
    <d v="2024-02-26T00:00:00"/>
    <d v="2024-03-02T00:00:00"/>
    <x v="1"/>
    <x v="3"/>
    <s v="February"/>
    <x v="0"/>
    <x v="2"/>
    <x v="5"/>
    <x v="3"/>
    <n v="396.54"/>
    <n v="5"/>
    <n v="0"/>
    <s v="No"/>
    <n v="0"/>
    <x v="0"/>
    <n v="1"/>
  </r>
  <r>
    <s v="BK00455"/>
    <s v="CUST1269"/>
    <x v="37"/>
    <d v="2024-02-11T00:00:00"/>
    <d v="2024-02-17T00:00:00"/>
    <x v="1"/>
    <x v="3"/>
    <s v="February"/>
    <x v="1"/>
    <x v="0"/>
    <x v="5"/>
    <x v="3"/>
    <n v="377.89"/>
    <n v="6"/>
    <n v="5"/>
    <s v="Yes"/>
    <n v="1"/>
    <x v="0"/>
    <n v="1"/>
  </r>
  <r>
    <s v="BK00018"/>
    <s v="CUST1537"/>
    <x v="38"/>
    <d v="2024-03-10T00:00:00"/>
    <d v="2024-03-13T00:00:00"/>
    <x v="1"/>
    <x v="4"/>
    <s v="February"/>
    <x v="2"/>
    <x v="3"/>
    <x v="0"/>
    <x v="2"/>
    <n v="350.77"/>
    <n v="3"/>
    <n v="15"/>
    <s v="Yes"/>
    <n v="1"/>
    <x v="0"/>
    <n v="1"/>
  </r>
  <r>
    <s v="BK00087"/>
    <s v="CUST3307"/>
    <x v="38"/>
    <d v="2024-02-15T00:00:00"/>
    <d v="2024-02-21T00:00:00"/>
    <x v="1"/>
    <x v="4"/>
    <s v="February"/>
    <x v="2"/>
    <x v="1"/>
    <x v="3"/>
    <x v="3"/>
    <n v="358.17"/>
    <n v="6"/>
    <n v="20"/>
    <s v="Yes"/>
    <n v="1"/>
    <x v="0"/>
    <n v="1"/>
  </r>
  <r>
    <s v="BK00147"/>
    <s v="CUST2169"/>
    <x v="38"/>
    <d v="2024-03-05T00:00:00"/>
    <d v="2024-03-13T00:00:00"/>
    <x v="1"/>
    <x v="4"/>
    <s v="February"/>
    <x v="1"/>
    <x v="3"/>
    <x v="4"/>
    <x v="1"/>
    <n v="384.12"/>
    <n v="8"/>
    <n v="20"/>
    <s v="Yes"/>
    <n v="1"/>
    <x v="1"/>
    <n v="0"/>
  </r>
  <r>
    <s v="BK00158"/>
    <s v="CUST7300"/>
    <x v="38"/>
    <d v="2024-02-25T00:00:00"/>
    <d v="2024-02-29T00:00:00"/>
    <x v="1"/>
    <x v="4"/>
    <s v="February"/>
    <x v="2"/>
    <x v="1"/>
    <x v="5"/>
    <x v="1"/>
    <n v="625.05999999999995"/>
    <n v="4"/>
    <n v="5"/>
    <s v="Yes"/>
    <n v="1"/>
    <x v="0"/>
    <n v="1"/>
  </r>
  <r>
    <s v="BK00282"/>
    <s v="CUST6164"/>
    <x v="38"/>
    <d v="2024-02-10T00:00:00"/>
    <d v="2024-02-14T00:00:00"/>
    <x v="1"/>
    <x v="4"/>
    <s v="February"/>
    <x v="0"/>
    <x v="1"/>
    <x v="4"/>
    <x v="1"/>
    <n v="1252.25"/>
    <n v="4"/>
    <n v="15"/>
    <s v="Yes"/>
    <n v="1"/>
    <x v="0"/>
    <n v="1"/>
  </r>
  <r>
    <s v="BK00312"/>
    <s v="CUST5829"/>
    <x v="38"/>
    <d v="2024-02-19T00:00:00"/>
    <d v="2024-02-28T00:00:00"/>
    <x v="1"/>
    <x v="4"/>
    <s v="February"/>
    <x v="2"/>
    <x v="0"/>
    <x v="5"/>
    <x v="2"/>
    <n v="1242.25"/>
    <n v="9"/>
    <n v="10"/>
    <s v="Yes"/>
    <n v="1"/>
    <x v="0"/>
    <n v="1"/>
  </r>
  <r>
    <s v="BK00319"/>
    <s v="CUST4337"/>
    <x v="38"/>
    <d v="2024-02-27T00:00:00"/>
    <d v="2024-03-03T00:00:00"/>
    <x v="1"/>
    <x v="4"/>
    <s v="February"/>
    <x v="0"/>
    <x v="3"/>
    <x v="4"/>
    <x v="1"/>
    <n v="375.38"/>
    <n v="5"/>
    <n v="10"/>
    <s v="Yes"/>
    <n v="1"/>
    <x v="1"/>
    <n v="0"/>
  </r>
  <r>
    <s v="BK00342"/>
    <s v="CUST7426"/>
    <x v="38"/>
    <d v="2024-03-02T00:00:00"/>
    <d v="2024-03-11T00:00:00"/>
    <x v="1"/>
    <x v="4"/>
    <s v="February"/>
    <x v="2"/>
    <x v="3"/>
    <x v="5"/>
    <x v="0"/>
    <n v="732.59"/>
    <n v="9"/>
    <n v="5"/>
    <s v="Yes"/>
    <n v="1"/>
    <x v="0"/>
    <n v="1"/>
  </r>
  <r>
    <s v="BK00393"/>
    <s v="CUST6488"/>
    <x v="38"/>
    <d v="2024-02-26T00:00:00"/>
    <d v="2024-02-29T00:00:00"/>
    <x v="1"/>
    <x v="4"/>
    <s v="February"/>
    <x v="2"/>
    <x v="0"/>
    <x v="5"/>
    <x v="0"/>
    <n v="768.48"/>
    <n v="3"/>
    <n v="0"/>
    <s v="No"/>
    <n v="0"/>
    <x v="1"/>
    <n v="0"/>
  </r>
  <r>
    <s v="BK00080"/>
    <s v="CUST8395"/>
    <x v="39"/>
    <d v="2024-02-23T00:00:00"/>
    <d v="2024-03-02T00:00:00"/>
    <x v="1"/>
    <x v="5"/>
    <s v="February"/>
    <x v="1"/>
    <x v="2"/>
    <x v="2"/>
    <x v="2"/>
    <n v="1423.91"/>
    <n v="8"/>
    <n v="20"/>
    <s v="Yes"/>
    <n v="1"/>
    <x v="1"/>
    <n v="0"/>
  </r>
  <r>
    <s v="BK00109"/>
    <s v="CUST1082"/>
    <x v="39"/>
    <d v="2024-02-28T00:00:00"/>
    <d v="2024-03-09T00:00:00"/>
    <x v="1"/>
    <x v="5"/>
    <s v="February"/>
    <x v="2"/>
    <x v="1"/>
    <x v="4"/>
    <x v="0"/>
    <n v="378.33"/>
    <n v="10"/>
    <n v="20"/>
    <s v="Yes"/>
    <n v="1"/>
    <x v="1"/>
    <n v="0"/>
  </r>
  <r>
    <s v="BK00336"/>
    <s v="CUST3413"/>
    <x v="39"/>
    <d v="2024-02-25T00:00:00"/>
    <d v="2024-02-26T00:00:00"/>
    <x v="1"/>
    <x v="5"/>
    <s v="February"/>
    <x v="2"/>
    <x v="2"/>
    <x v="5"/>
    <x v="3"/>
    <n v="294.3"/>
    <n v="1"/>
    <n v="5"/>
    <s v="Yes"/>
    <n v="1"/>
    <x v="0"/>
    <n v="1"/>
  </r>
  <r>
    <s v="BK00419"/>
    <s v="CUST8326"/>
    <x v="39"/>
    <d v="2024-02-24T00:00:00"/>
    <d v="2024-03-03T00:00:00"/>
    <x v="1"/>
    <x v="5"/>
    <s v="February"/>
    <x v="1"/>
    <x v="0"/>
    <x v="3"/>
    <x v="0"/>
    <n v="1280.1400000000001"/>
    <n v="8"/>
    <n v="15"/>
    <s v="Yes"/>
    <n v="1"/>
    <x v="0"/>
    <n v="1"/>
  </r>
  <r>
    <s v="BK00498"/>
    <s v="CUST2282"/>
    <x v="39"/>
    <d v="2024-02-25T00:00:00"/>
    <d v="2024-03-06T00:00:00"/>
    <x v="1"/>
    <x v="5"/>
    <s v="February"/>
    <x v="0"/>
    <x v="3"/>
    <x v="3"/>
    <x v="0"/>
    <n v="1082.78"/>
    <n v="10"/>
    <n v="15"/>
    <s v="Yes"/>
    <n v="1"/>
    <x v="1"/>
    <n v="0"/>
  </r>
  <r>
    <s v="BK00286"/>
    <s v="CUST6908"/>
    <x v="40"/>
    <d v="2024-02-25T00:00:00"/>
    <d v="2024-02-27T00:00:00"/>
    <x v="2"/>
    <x v="6"/>
    <s v="February"/>
    <x v="2"/>
    <x v="0"/>
    <x v="0"/>
    <x v="0"/>
    <n v="673.63"/>
    <n v="2"/>
    <n v="10"/>
    <s v="Yes"/>
    <n v="1"/>
    <x v="0"/>
    <n v="1"/>
  </r>
  <r>
    <s v="BK00422"/>
    <s v="CUST9574"/>
    <x v="40"/>
    <d v="2024-03-03T00:00:00"/>
    <d v="2024-03-06T00:00:00"/>
    <x v="2"/>
    <x v="6"/>
    <s v="February"/>
    <x v="1"/>
    <x v="0"/>
    <x v="3"/>
    <x v="0"/>
    <n v="976.81"/>
    <n v="3"/>
    <n v="20"/>
    <s v="Yes"/>
    <n v="1"/>
    <x v="1"/>
    <n v="0"/>
  </r>
  <r>
    <s v="BK00039"/>
    <s v="CUST4129"/>
    <x v="41"/>
    <d v="2024-02-17T00:00:00"/>
    <d v="2024-02-22T00:00:00"/>
    <x v="2"/>
    <x v="0"/>
    <s v="February"/>
    <x v="2"/>
    <x v="2"/>
    <x v="0"/>
    <x v="0"/>
    <n v="746.54"/>
    <n v="5"/>
    <n v="5"/>
    <s v="Yes"/>
    <n v="1"/>
    <x v="0"/>
    <n v="1"/>
  </r>
  <r>
    <s v="BK00115"/>
    <s v="CUST7957"/>
    <x v="41"/>
    <d v="2024-02-23T00:00:00"/>
    <d v="2024-03-03T00:00:00"/>
    <x v="2"/>
    <x v="0"/>
    <s v="February"/>
    <x v="2"/>
    <x v="0"/>
    <x v="3"/>
    <x v="0"/>
    <n v="514.79999999999995"/>
    <n v="9"/>
    <n v="10"/>
    <s v="Yes"/>
    <n v="1"/>
    <x v="1"/>
    <n v="0"/>
  </r>
  <r>
    <s v="BK00159"/>
    <s v="CUST3726"/>
    <x v="41"/>
    <d v="2024-02-23T00:00:00"/>
    <d v="2024-02-28T00:00:00"/>
    <x v="2"/>
    <x v="0"/>
    <s v="February"/>
    <x v="0"/>
    <x v="1"/>
    <x v="4"/>
    <x v="0"/>
    <n v="665.56"/>
    <n v="5"/>
    <n v="5"/>
    <s v="Yes"/>
    <n v="1"/>
    <x v="0"/>
    <n v="1"/>
  </r>
  <r>
    <s v="BK00299"/>
    <s v="CUST7393"/>
    <x v="41"/>
    <d v="2024-03-11T00:00:00"/>
    <d v="2024-03-20T00:00:00"/>
    <x v="2"/>
    <x v="0"/>
    <s v="February"/>
    <x v="0"/>
    <x v="3"/>
    <x v="0"/>
    <x v="2"/>
    <n v="496.3"/>
    <n v="9"/>
    <n v="5"/>
    <s v="Yes"/>
    <n v="1"/>
    <x v="0"/>
    <n v="1"/>
  </r>
  <r>
    <s v="BK00350"/>
    <s v="CUST7689"/>
    <x v="41"/>
    <d v="2024-03-13T00:00:00"/>
    <d v="2024-03-20T00:00:00"/>
    <x v="2"/>
    <x v="0"/>
    <s v="February"/>
    <x v="0"/>
    <x v="3"/>
    <x v="5"/>
    <x v="2"/>
    <n v="820.76"/>
    <n v="7"/>
    <n v="25"/>
    <s v="Yes"/>
    <n v="1"/>
    <x v="1"/>
    <n v="0"/>
  </r>
  <r>
    <s v="BK00476"/>
    <s v="CUST1758"/>
    <x v="41"/>
    <d v="2024-02-28T00:00:00"/>
    <d v="2024-03-07T00:00:00"/>
    <x v="2"/>
    <x v="0"/>
    <s v="February"/>
    <x v="2"/>
    <x v="1"/>
    <x v="0"/>
    <x v="1"/>
    <n v="391.74"/>
    <n v="8"/>
    <n v="10"/>
    <s v="Yes"/>
    <n v="1"/>
    <x v="1"/>
    <n v="0"/>
  </r>
  <r>
    <s v="BK00004"/>
    <s v="CUST5384"/>
    <x v="42"/>
    <d v="2024-03-08T00:00:00"/>
    <d v="2024-03-14T00:00:00"/>
    <x v="2"/>
    <x v="1"/>
    <s v="February"/>
    <x v="2"/>
    <x v="2"/>
    <x v="0"/>
    <x v="1"/>
    <n v="363.17"/>
    <n v="6"/>
    <n v="25"/>
    <s v="Yes"/>
    <n v="1"/>
    <x v="1"/>
    <n v="0"/>
  </r>
  <r>
    <s v="BK00043"/>
    <s v="CUST2374"/>
    <x v="42"/>
    <d v="2024-03-06T00:00:00"/>
    <d v="2024-03-07T00:00:00"/>
    <x v="2"/>
    <x v="1"/>
    <s v="February"/>
    <x v="0"/>
    <x v="3"/>
    <x v="2"/>
    <x v="0"/>
    <n v="1166.56"/>
    <n v="1"/>
    <n v="5"/>
    <s v="Yes"/>
    <n v="1"/>
    <x v="1"/>
    <n v="0"/>
  </r>
  <r>
    <s v="BK00316"/>
    <s v="CUST5005"/>
    <x v="42"/>
    <d v="2024-02-22T00:00:00"/>
    <d v="2024-02-24T00:00:00"/>
    <x v="2"/>
    <x v="1"/>
    <s v="February"/>
    <x v="1"/>
    <x v="2"/>
    <x v="5"/>
    <x v="0"/>
    <n v="302.26"/>
    <n v="2"/>
    <n v="20"/>
    <s v="Yes"/>
    <n v="1"/>
    <x v="1"/>
    <n v="0"/>
  </r>
  <r>
    <s v="BK00353"/>
    <s v="CUST7251"/>
    <x v="42"/>
    <d v="2024-02-19T00:00:00"/>
    <d v="2024-02-21T00:00:00"/>
    <x v="2"/>
    <x v="1"/>
    <s v="February"/>
    <x v="1"/>
    <x v="3"/>
    <x v="5"/>
    <x v="3"/>
    <n v="236.37"/>
    <n v="2"/>
    <n v="25"/>
    <s v="Yes"/>
    <n v="1"/>
    <x v="0"/>
    <n v="1"/>
  </r>
  <r>
    <s v="BK00398"/>
    <s v="CUST1988"/>
    <x v="42"/>
    <d v="2024-02-23T00:00:00"/>
    <d v="2024-02-25T00:00:00"/>
    <x v="2"/>
    <x v="1"/>
    <s v="February"/>
    <x v="0"/>
    <x v="0"/>
    <x v="4"/>
    <x v="3"/>
    <n v="253.54"/>
    <n v="2"/>
    <n v="25"/>
    <s v="Yes"/>
    <n v="1"/>
    <x v="1"/>
    <n v="0"/>
  </r>
  <r>
    <s v="BK00492"/>
    <s v="CUST9209"/>
    <x v="42"/>
    <d v="2024-03-02T00:00:00"/>
    <d v="2024-03-10T00:00:00"/>
    <x v="2"/>
    <x v="1"/>
    <s v="February"/>
    <x v="1"/>
    <x v="0"/>
    <x v="5"/>
    <x v="1"/>
    <n v="538.92999999999995"/>
    <n v="8"/>
    <n v="10"/>
    <s v="Yes"/>
    <n v="1"/>
    <x v="1"/>
    <n v="0"/>
  </r>
  <r>
    <s v="BK00041"/>
    <s v="CUST1316"/>
    <x v="43"/>
    <d v="2024-03-07T00:00:00"/>
    <d v="2024-03-08T00:00:00"/>
    <x v="2"/>
    <x v="2"/>
    <s v="February"/>
    <x v="1"/>
    <x v="0"/>
    <x v="0"/>
    <x v="3"/>
    <n v="782.33"/>
    <n v="1"/>
    <n v="10"/>
    <s v="Yes"/>
    <n v="1"/>
    <x v="0"/>
    <n v="1"/>
  </r>
  <r>
    <s v="BK00119"/>
    <s v="CUST1053"/>
    <x v="43"/>
    <d v="2024-03-07T00:00:00"/>
    <d v="2024-03-17T00:00:00"/>
    <x v="2"/>
    <x v="2"/>
    <s v="February"/>
    <x v="2"/>
    <x v="3"/>
    <x v="4"/>
    <x v="3"/>
    <n v="1047.53"/>
    <n v="10"/>
    <n v="15"/>
    <s v="Yes"/>
    <n v="1"/>
    <x v="0"/>
    <n v="1"/>
  </r>
  <r>
    <s v="BK00132"/>
    <s v="CUST4513"/>
    <x v="43"/>
    <d v="2024-03-13T00:00:00"/>
    <d v="2024-03-23T00:00:00"/>
    <x v="2"/>
    <x v="2"/>
    <s v="February"/>
    <x v="1"/>
    <x v="1"/>
    <x v="5"/>
    <x v="3"/>
    <n v="222.51"/>
    <n v="10"/>
    <n v="0"/>
    <s v="No"/>
    <n v="0"/>
    <x v="0"/>
    <n v="1"/>
  </r>
  <r>
    <s v="BK00205"/>
    <s v="CUST5577"/>
    <x v="43"/>
    <d v="2024-03-15T00:00:00"/>
    <d v="2024-03-22T00:00:00"/>
    <x v="2"/>
    <x v="2"/>
    <s v="February"/>
    <x v="1"/>
    <x v="0"/>
    <x v="2"/>
    <x v="1"/>
    <n v="1160.1199999999999"/>
    <n v="7"/>
    <n v="15"/>
    <s v="Yes"/>
    <n v="1"/>
    <x v="1"/>
    <n v="0"/>
  </r>
  <r>
    <s v="BK00231"/>
    <s v="CUST4813"/>
    <x v="43"/>
    <d v="2024-02-24T00:00:00"/>
    <d v="2024-03-03T00:00:00"/>
    <x v="2"/>
    <x v="2"/>
    <s v="February"/>
    <x v="1"/>
    <x v="1"/>
    <x v="3"/>
    <x v="0"/>
    <n v="1174.55"/>
    <n v="8"/>
    <n v="15"/>
    <s v="Yes"/>
    <n v="1"/>
    <x v="1"/>
    <n v="0"/>
  </r>
  <r>
    <s v="BK00262"/>
    <s v="CUST4069"/>
    <x v="43"/>
    <d v="2024-03-14T00:00:00"/>
    <d v="2024-03-17T00:00:00"/>
    <x v="2"/>
    <x v="2"/>
    <s v="February"/>
    <x v="0"/>
    <x v="1"/>
    <x v="5"/>
    <x v="2"/>
    <n v="337.59"/>
    <n v="3"/>
    <n v="0"/>
    <s v="No"/>
    <n v="0"/>
    <x v="0"/>
    <n v="1"/>
  </r>
  <r>
    <s v="BK00317"/>
    <s v="CUST5661"/>
    <x v="43"/>
    <d v="2024-03-05T00:00:00"/>
    <d v="2024-03-09T00:00:00"/>
    <x v="2"/>
    <x v="2"/>
    <s v="February"/>
    <x v="2"/>
    <x v="2"/>
    <x v="3"/>
    <x v="0"/>
    <n v="237.02"/>
    <n v="4"/>
    <n v="10"/>
    <s v="Yes"/>
    <n v="1"/>
    <x v="1"/>
    <n v="0"/>
  </r>
  <r>
    <s v="BK00356"/>
    <s v="CUST4740"/>
    <x v="43"/>
    <d v="2024-03-03T00:00:00"/>
    <d v="2024-03-06T00:00:00"/>
    <x v="2"/>
    <x v="2"/>
    <s v="February"/>
    <x v="2"/>
    <x v="2"/>
    <x v="0"/>
    <x v="0"/>
    <n v="1143.17"/>
    <n v="3"/>
    <n v="5"/>
    <s v="Yes"/>
    <n v="1"/>
    <x v="1"/>
    <n v="0"/>
  </r>
  <r>
    <s v="BK00442"/>
    <s v="CUST1987"/>
    <x v="43"/>
    <d v="2024-03-12T00:00:00"/>
    <d v="2024-03-14T00:00:00"/>
    <x v="2"/>
    <x v="2"/>
    <s v="February"/>
    <x v="2"/>
    <x v="0"/>
    <x v="1"/>
    <x v="3"/>
    <n v="943.16"/>
    <n v="2"/>
    <n v="25"/>
    <s v="Yes"/>
    <n v="1"/>
    <x v="0"/>
    <n v="1"/>
  </r>
  <r>
    <s v="BK00464"/>
    <s v="CUST1556"/>
    <x v="43"/>
    <d v="2024-02-22T00:00:00"/>
    <d v="2024-03-03T00:00:00"/>
    <x v="2"/>
    <x v="2"/>
    <s v="February"/>
    <x v="2"/>
    <x v="2"/>
    <x v="1"/>
    <x v="3"/>
    <n v="580.37"/>
    <n v="10"/>
    <n v="0"/>
    <s v="No"/>
    <n v="0"/>
    <x v="0"/>
    <n v="1"/>
  </r>
  <r>
    <s v="BK00480"/>
    <s v="CUST8106"/>
    <x v="43"/>
    <d v="2024-03-13T00:00:00"/>
    <d v="2024-03-18T00:00:00"/>
    <x v="2"/>
    <x v="2"/>
    <s v="February"/>
    <x v="0"/>
    <x v="0"/>
    <x v="2"/>
    <x v="1"/>
    <n v="1238.0999999999999"/>
    <n v="5"/>
    <n v="10"/>
    <s v="Yes"/>
    <n v="1"/>
    <x v="0"/>
    <n v="1"/>
  </r>
  <r>
    <s v="BK00044"/>
    <s v="CUST8494"/>
    <x v="44"/>
    <d v="2024-03-07T00:00:00"/>
    <d v="2024-03-13T00:00:00"/>
    <x v="2"/>
    <x v="3"/>
    <s v="February"/>
    <x v="0"/>
    <x v="1"/>
    <x v="3"/>
    <x v="3"/>
    <n v="1331.55"/>
    <n v="6"/>
    <n v="20"/>
    <s v="Yes"/>
    <n v="1"/>
    <x v="0"/>
    <n v="1"/>
  </r>
  <r>
    <s v="BK00070"/>
    <s v="CUST9828"/>
    <x v="44"/>
    <d v="2024-02-24T00:00:00"/>
    <d v="2024-02-27T00:00:00"/>
    <x v="2"/>
    <x v="3"/>
    <s v="February"/>
    <x v="0"/>
    <x v="0"/>
    <x v="1"/>
    <x v="2"/>
    <n v="137.54"/>
    <n v="3"/>
    <n v="15"/>
    <s v="Yes"/>
    <n v="1"/>
    <x v="0"/>
    <n v="1"/>
  </r>
  <r>
    <s v="BK00099"/>
    <s v="CUST9975"/>
    <x v="44"/>
    <d v="2024-03-07T00:00:00"/>
    <d v="2024-03-11T00:00:00"/>
    <x v="2"/>
    <x v="3"/>
    <s v="February"/>
    <x v="0"/>
    <x v="1"/>
    <x v="3"/>
    <x v="2"/>
    <n v="119.1"/>
    <n v="4"/>
    <n v="15"/>
    <s v="Yes"/>
    <n v="1"/>
    <x v="0"/>
    <n v="1"/>
  </r>
  <r>
    <s v="BK00161"/>
    <s v="CUST2119"/>
    <x v="44"/>
    <d v="2024-02-20T00:00:00"/>
    <d v="2024-03-01T00:00:00"/>
    <x v="2"/>
    <x v="3"/>
    <s v="February"/>
    <x v="2"/>
    <x v="1"/>
    <x v="2"/>
    <x v="3"/>
    <n v="101.2"/>
    <n v="10"/>
    <n v="10"/>
    <s v="Yes"/>
    <n v="1"/>
    <x v="0"/>
    <n v="1"/>
  </r>
  <r>
    <s v="BK00174"/>
    <s v="CUST3972"/>
    <x v="44"/>
    <d v="2024-03-13T00:00:00"/>
    <d v="2024-03-22T00:00:00"/>
    <x v="2"/>
    <x v="3"/>
    <s v="February"/>
    <x v="2"/>
    <x v="3"/>
    <x v="4"/>
    <x v="1"/>
    <n v="1051.93"/>
    <n v="9"/>
    <n v="10"/>
    <s v="Yes"/>
    <n v="1"/>
    <x v="1"/>
    <n v="0"/>
  </r>
  <r>
    <s v="BK00269"/>
    <s v="CUST2507"/>
    <x v="44"/>
    <d v="2024-03-04T00:00:00"/>
    <d v="2024-03-11T00:00:00"/>
    <x v="2"/>
    <x v="3"/>
    <s v="February"/>
    <x v="1"/>
    <x v="0"/>
    <x v="3"/>
    <x v="2"/>
    <n v="109.19"/>
    <n v="7"/>
    <n v="15"/>
    <s v="Yes"/>
    <n v="1"/>
    <x v="0"/>
    <n v="1"/>
  </r>
  <r>
    <s v="BK00106"/>
    <s v="CUST4272"/>
    <x v="45"/>
    <d v="2024-03-17T00:00:00"/>
    <d v="2024-03-22T00:00:00"/>
    <x v="2"/>
    <x v="4"/>
    <s v="February"/>
    <x v="1"/>
    <x v="1"/>
    <x v="3"/>
    <x v="2"/>
    <n v="770.42"/>
    <n v="5"/>
    <n v="15"/>
    <s v="Yes"/>
    <n v="1"/>
    <x v="0"/>
    <n v="1"/>
  </r>
  <r>
    <s v="BK00246"/>
    <s v="CUST8782"/>
    <x v="45"/>
    <d v="2024-03-08T00:00:00"/>
    <d v="2024-03-11T00:00:00"/>
    <x v="2"/>
    <x v="4"/>
    <s v="February"/>
    <x v="1"/>
    <x v="2"/>
    <x v="2"/>
    <x v="0"/>
    <n v="824.33"/>
    <n v="3"/>
    <n v="0"/>
    <s v="No"/>
    <n v="0"/>
    <x v="1"/>
    <n v="0"/>
  </r>
  <r>
    <s v="BK00283"/>
    <s v="CUST2191"/>
    <x v="45"/>
    <d v="2024-03-13T00:00:00"/>
    <d v="2024-03-21T00:00:00"/>
    <x v="2"/>
    <x v="4"/>
    <s v="February"/>
    <x v="1"/>
    <x v="1"/>
    <x v="0"/>
    <x v="1"/>
    <n v="1432.32"/>
    <n v="8"/>
    <n v="15"/>
    <s v="Yes"/>
    <n v="1"/>
    <x v="0"/>
    <n v="1"/>
  </r>
  <r>
    <s v="BK00339"/>
    <s v="CUST1469"/>
    <x v="45"/>
    <d v="2024-03-11T00:00:00"/>
    <d v="2024-03-17T00:00:00"/>
    <x v="2"/>
    <x v="4"/>
    <s v="February"/>
    <x v="1"/>
    <x v="1"/>
    <x v="4"/>
    <x v="3"/>
    <n v="922.8"/>
    <n v="6"/>
    <n v="15"/>
    <s v="Yes"/>
    <n v="1"/>
    <x v="0"/>
    <n v="1"/>
  </r>
  <r>
    <s v="BK00017"/>
    <s v="CUST8331"/>
    <x v="46"/>
    <d v="2024-03-05T00:00:00"/>
    <d v="2024-03-14T00:00:00"/>
    <x v="2"/>
    <x v="5"/>
    <s v="February"/>
    <x v="2"/>
    <x v="0"/>
    <x v="4"/>
    <x v="1"/>
    <n v="549.49"/>
    <n v="9"/>
    <n v="5"/>
    <s v="Yes"/>
    <n v="1"/>
    <x v="1"/>
    <n v="0"/>
  </r>
  <r>
    <s v="BK00022"/>
    <s v="CUST7864"/>
    <x v="46"/>
    <d v="2024-02-24T00:00:00"/>
    <d v="2024-02-29T00:00:00"/>
    <x v="2"/>
    <x v="5"/>
    <s v="February"/>
    <x v="0"/>
    <x v="1"/>
    <x v="3"/>
    <x v="0"/>
    <n v="1292.31"/>
    <n v="5"/>
    <n v="25"/>
    <s v="Yes"/>
    <n v="1"/>
    <x v="0"/>
    <n v="1"/>
  </r>
  <r>
    <s v="BK00027"/>
    <s v="CUST7773"/>
    <x v="46"/>
    <d v="2024-03-08T00:00:00"/>
    <d v="2024-03-11T00:00:00"/>
    <x v="2"/>
    <x v="5"/>
    <s v="February"/>
    <x v="1"/>
    <x v="3"/>
    <x v="2"/>
    <x v="2"/>
    <n v="360.16"/>
    <n v="3"/>
    <n v="10"/>
    <s v="Yes"/>
    <n v="1"/>
    <x v="1"/>
    <n v="0"/>
  </r>
  <r>
    <s v="BK00200"/>
    <s v="CUST1098"/>
    <x v="46"/>
    <d v="2024-02-29T00:00:00"/>
    <d v="2024-03-07T00:00:00"/>
    <x v="2"/>
    <x v="5"/>
    <s v="February"/>
    <x v="0"/>
    <x v="1"/>
    <x v="5"/>
    <x v="0"/>
    <n v="1355.02"/>
    <n v="7"/>
    <n v="0"/>
    <s v="No"/>
    <n v="0"/>
    <x v="1"/>
    <n v="0"/>
  </r>
  <r>
    <s v="BK00367"/>
    <s v="CUST2677"/>
    <x v="46"/>
    <d v="2024-02-28T00:00:00"/>
    <d v="2024-03-08T00:00:00"/>
    <x v="2"/>
    <x v="5"/>
    <s v="February"/>
    <x v="0"/>
    <x v="2"/>
    <x v="3"/>
    <x v="1"/>
    <n v="844.9"/>
    <n v="9"/>
    <n v="5"/>
    <s v="Yes"/>
    <n v="1"/>
    <x v="0"/>
    <n v="1"/>
  </r>
  <r>
    <s v="BK00030"/>
    <s v="CUST4001"/>
    <x v="47"/>
    <d v="2024-03-02T00:00:00"/>
    <d v="2024-03-03T00:00:00"/>
    <x v="3"/>
    <x v="6"/>
    <s v="February"/>
    <x v="1"/>
    <x v="3"/>
    <x v="0"/>
    <x v="2"/>
    <n v="1204.22"/>
    <n v="1"/>
    <n v="15"/>
    <s v="Yes"/>
    <n v="1"/>
    <x v="1"/>
    <n v="0"/>
  </r>
  <r>
    <s v="BK00108"/>
    <s v="CUST6463"/>
    <x v="47"/>
    <d v="2024-02-21T00:00:00"/>
    <d v="2024-03-01T00:00:00"/>
    <x v="3"/>
    <x v="6"/>
    <s v="February"/>
    <x v="0"/>
    <x v="0"/>
    <x v="1"/>
    <x v="1"/>
    <n v="1272.79"/>
    <n v="9"/>
    <n v="15"/>
    <s v="Yes"/>
    <n v="1"/>
    <x v="0"/>
    <n v="1"/>
  </r>
  <r>
    <s v="BK00190"/>
    <s v="CUST2683"/>
    <x v="47"/>
    <d v="2024-03-13T00:00:00"/>
    <d v="2024-03-21T00:00:00"/>
    <x v="3"/>
    <x v="6"/>
    <s v="February"/>
    <x v="2"/>
    <x v="3"/>
    <x v="1"/>
    <x v="3"/>
    <n v="221.61"/>
    <n v="8"/>
    <n v="25"/>
    <s v="Yes"/>
    <n v="1"/>
    <x v="1"/>
    <n v="0"/>
  </r>
  <r>
    <s v="BK00345"/>
    <s v="CUST7978"/>
    <x v="47"/>
    <d v="2024-02-29T00:00:00"/>
    <d v="2024-03-04T00:00:00"/>
    <x v="3"/>
    <x v="6"/>
    <s v="February"/>
    <x v="2"/>
    <x v="3"/>
    <x v="1"/>
    <x v="2"/>
    <n v="627.58000000000004"/>
    <n v="4"/>
    <n v="0"/>
    <s v="No"/>
    <n v="0"/>
    <x v="0"/>
    <n v="1"/>
  </r>
  <r>
    <s v="BK00388"/>
    <s v="CUST9629"/>
    <x v="47"/>
    <d v="2024-03-05T00:00:00"/>
    <d v="2024-03-10T00:00:00"/>
    <x v="3"/>
    <x v="6"/>
    <s v="February"/>
    <x v="0"/>
    <x v="0"/>
    <x v="3"/>
    <x v="0"/>
    <n v="1248.48"/>
    <n v="5"/>
    <n v="15"/>
    <s v="Yes"/>
    <n v="1"/>
    <x v="0"/>
    <n v="1"/>
  </r>
  <r>
    <s v="BK00049"/>
    <s v="CUST3826"/>
    <x v="48"/>
    <d v="2024-02-24T00:00:00"/>
    <d v="2024-02-29T00:00:00"/>
    <x v="3"/>
    <x v="0"/>
    <s v="February"/>
    <x v="2"/>
    <x v="3"/>
    <x v="1"/>
    <x v="2"/>
    <n v="1334.75"/>
    <n v="5"/>
    <n v="10"/>
    <s v="Yes"/>
    <n v="1"/>
    <x v="1"/>
    <n v="0"/>
  </r>
  <r>
    <s v="BK00114"/>
    <s v="CUST4359"/>
    <x v="48"/>
    <d v="2024-03-17T00:00:00"/>
    <d v="2024-03-23T00:00:00"/>
    <x v="3"/>
    <x v="0"/>
    <s v="February"/>
    <x v="0"/>
    <x v="0"/>
    <x v="4"/>
    <x v="0"/>
    <n v="425.98"/>
    <n v="6"/>
    <n v="0"/>
    <s v="No"/>
    <n v="0"/>
    <x v="1"/>
    <n v="0"/>
  </r>
  <r>
    <s v="BK00228"/>
    <s v="CUST2526"/>
    <x v="48"/>
    <d v="2024-02-21T00:00:00"/>
    <d v="2024-02-29T00:00:00"/>
    <x v="3"/>
    <x v="0"/>
    <s v="February"/>
    <x v="2"/>
    <x v="0"/>
    <x v="1"/>
    <x v="1"/>
    <n v="453.01"/>
    <n v="8"/>
    <n v="25"/>
    <s v="Yes"/>
    <n v="1"/>
    <x v="1"/>
    <n v="0"/>
  </r>
  <r>
    <s v="BK00406"/>
    <s v="CUST9901"/>
    <x v="48"/>
    <d v="2024-03-15T00:00:00"/>
    <d v="2024-03-16T00:00:00"/>
    <x v="3"/>
    <x v="0"/>
    <s v="February"/>
    <x v="0"/>
    <x v="1"/>
    <x v="3"/>
    <x v="0"/>
    <n v="994.4"/>
    <n v="1"/>
    <n v="0"/>
    <s v="No"/>
    <n v="0"/>
    <x v="1"/>
    <n v="0"/>
  </r>
  <r>
    <s v="BK00431"/>
    <s v="CUST5825"/>
    <x v="48"/>
    <d v="2024-03-11T00:00:00"/>
    <d v="2024-03-13T00:00:00"/>
    <x v="3"/>
    <x v="0"/>
    <s v="February"/>
    <x v="0"/>
    <x v="3"/>
    <x v="5"/>
    <x v="2"/>
    <n v="162.49"/>
    <n v="2"/>
    <n v="20"/>
    <s v="Yes"/>
    <n v="1"/>
    <x v="0"/>
    <n v="1"/>
  </r>
  <r>
    <s v="BK00020"/>
    <s v="CUST6838"/>
    <x v="49"/>
    <d v="2024-03-05T00:00:00"/>
    <d v="2024-03-10T00:00:00"/>
    <x v="3"/>
    <x v="1"/>
    <s v="February"/>
    <x v="1"/>
    <x v="0"/>
    <x v="1"/>
    <x v="0"/>
    <n v="591.61"/>
    <n v="5"/>
    <n v="25"/>
    <s v="Yes"/>
    <n v="1"/>
    <x v="0"/>
    <n v="1"/>
  </r>
  <r>
    <s v="BK00083"/>
    <s v="CUST1924"/>
    <x v="49"/>
    <d v="2024-03-18T00:00:00"/>
    <d v="2024-03-19T00:00:00"/>
    <x v="3"/>
    <x v="1"/>
    <s v="February"/>
    <x v="1"/>
    <x v="2"/>
    <x v="3"/>
    <x v="3"/>
    <n v="343.87"/>
    <n v="1"/>
    <n v="25"/>
    <s v="Yes"/>
    <n v="1"/>
    <x v="1"/>
    <n v="0"/>
  </r>
  <r>
    <s v="BK00093"/>
    <s v="CUST4171"/>
    <x v="49"/>
    <d v="2024-03-06T00:00:00"/>
    <d v="2024-03-11T00:00:00"/>
    <x v="3"/>
    <x v="1"/>
    <s v="February"/>
    <x v="1"/>
    <x v="1"/>
    <x v="0"/>
    <x v="0"/>
    <n v="574.77"/>
    <n v="5"/>
    <n v="20"/>
    <s v="Yes"/>
    <n v="1"/>
    <x v="0"/>
    <n v="1"/>
  </r>
  <r>
    <s v="BK00344"/>
    <s v="CUST5651"/>
    <x v="49"/>
    <d v="2024-03-03T00:00:00"/>
    <d v="2024-03-13T00:00:00"/>
    <x v="3"/>
    <x v="1"/>
    <s v="February"/>
    <x v="2"/>
    <x v="0"/>
    <x v="4"/>
    <x v="0"/>
    <n v="790.38"/>
    <n v="10"/>
    <n v="20"/>
    <s v="Yes"/>
    <n v="1"/>
    <x v="1"/>
    <n v="0"/>
  </r>
  <r>
    <s v="BK00428"/>
    <s v="CUST4409"/>
    <x v="49"/>
    <d v="2024-03-15T00:00:00"/>
    <d v="2024-03-18T00:00:00"/>
    <x v="3"/>
    <x v="1"/>
    <s v="February"/>
    <x v="0"/>
    <x v="1"/>
    <x v="5"/>
    <x v="3"/>
    <n v="1458.36"/>
    <n v="3"/>
    <n v="15"/>
    <s v="Yes"/>
    <n v="1"/>
    <x v="1"/>
    <n v="0"/>
  </r>
  <r>
    <s v="BK00125"/>
    <s v="CUST7790"/>
    <x v="50"/>
    <d v="2024-03-21T00:00:00"/>
    <d v="2024-03-30T00:00:00"/>
    <x v="3"/>
    <x v="2"/>
    <s v="February"/>
    <x v="1"/>
    <x v="3"/>
    <x v="2"/>
    <x v="2"/>
    <n v="483.87"/>
    <n v="9"/>
    <n v="25"/>
    <s v="Yes"/>
    <n v="1"/>
    <x v="0"/>
    <n v="1"/>
  </r>
  <r>
    <s v="BK00155"/>
    <s v="CUST3634"/>
    <x v="50"/>
    <d v="2024-03-20T00:00:00"/>
    <d v="2024-03-28T00:00:00"/>
    <x v="3"/>
    <x v="2"/>
    <s v="February"/>
    <x v="2"/>
    <x v="0"/>
    <x v="0"/>
    <x v="1"/>
    <n v="1172.74"/>
    <n v="8"/>
    <n v="20"/>
    <s v="Yes"/>
    <n v="1"/>
    <x v="1"/>
    <n v="0"/>
  </r>
  <r>
    <s v="BK00271"/>
    <s v="CUST6912"/>
    <x v="50"/>
    <d v="2024-02-25T00:00:00"/>
    <d v="2024-03-02T00:00:00"/>
    <x v="3"/>
    <x v="2"/>
    <s v="February"/>
    <x v="2"/>
    <x v="3"/>
    <x v="2"/>
    <x v="0"/>
    <n v="1331.89"/>
    <n v="6"/>
    <n v="5"/>
    <s v="Yes"/>
    <n v="1"/>
    <x v="1"/>
    <n v="0"/>
  </r>
  <r>
    <s v="BK00429"/>
    <s v="CUST2642"/>
    <x v="50"/>
    <d v="2024-02-22T00:00:00"/>
    <d v="2024-02-27T00:00:00"/>
    <x v="3"/>
    <x v="2"/>
    <s v="February"/>
    <x v="2"/>
    <x v="1"/>
    <x v="5"/>
    <x v="0"/>
    <n v="1366.59"/>
    <n v="5"/>
    <n v="20"/>
    <s v="Yes"/>
    <n v="1"/>
    <x v="0"/>
    <n v="1"/>
  </r>
  <r>
    <s v="BK00463"/>
    <s v="CUST1730"/>
    <x v="50"/>
    <d v="2024-03-05T00:00:00"/>
    <d v="2024-03-10T00:00:00"/>
    <x v="3"/>
    <x v="2"/>
    <s v="February"/>
    <x v="2"/>
    <x v="3"/>
    <x v="5"/>
    <x v="2"/>
    <n v="769.16"/>
    <n v="5"/>
    <n v="25"/>
    <s v="Yes"/>
    <n v="1"/>
    <x v="1"/>
    <n v="0"/>
  </r>
  <r>
    <s v="BK00250"/>
    <s v="CUST3174"/>
    <x v="51"/>
    <d v="2024-02-24T00:00:00"/>
    <d v="2024-02-29T00:00:00"/>
    <x v="3"/>
    <x v="3"/>
    <s v="February"/>
    <x v="2"/>
    <x v="0"/>
    <x v="2"/>
    <x v="3"/>
    <n v="526.88"/>
    <n v="5"/>
    <n v="0"/>
    <s v="No"/>
    <n v="0"/>
    <x v="1"/>
    <n v="0"/>
  </r>
  <r>
    <s v="BK00379"/>
    <s v="CUST1789"/>
    <x v="51"/>
    <d v="2024-02-25T00:00:00"/>
    <d v="2024-03-04T00:00:00"/>
    <x v="3"/>
    <x v="3"/>
    <s v="February"/>
    <x v="0"/>
    <x v="2"/>
    <x v="1"/>
    <x v="0"/>
    <n v="1067.07"/>
    <n v="8"/>
    <n v="25"/>
    <s v="Yes"/>
    <n v="1"/>
    <x v="0"/>
    <n v="1"/>
  </r>
  <r>
    <s v="BK00430"/>
    <s v="CUST6120"/>
    <x v="51"/>
    <d v="2024-03-08T00:00:00"/>
    <d v="2024-03-16T00:00:00"/>
    <x v="3"/>
    <x v="3"/>
    <s v="February"/>
    <x v="0"/>
    <x v="1"/>
    <x v="2"/>
    <x v="3"/>
    <n v="1020.7"/>
    <n v="8"/>
    <n v="15"/>
    <s v="Yes"/>
    <n v="1"/>
    <x v="1"/>
    <n v="0"/>
  </r>
  <r>
    <s v="BK00496"/>
    <s v="CUST7935"/>
    <x v="51"/>
    <d v="2024-03-06T00:00:00"/>
    <d v="2024-03-12T00:00:00"/>
    <x v="3"/>
    <x v="3"/>
    <s v="February"/>
    <x v="2"/>
    <x v="2"/>
    <x v="1"/>
    <x v="0"/>
    <n v="540.80999999999995"/>
    <n v="6"/>
    <n v="10"/>
    <s v="Yes"/>
    <n v="1"/>
    <x v="1"/>
    <n v="0"/>
  </r>
  <r>
    <s v="BK00007"/>
    <s v="CUST9555"/>
    <x v="52"/>
    <d v="2024-03-11T00:00:00"/>
    <d v="2024-03-17T00:00:00"/>
    <x v="3"/>
    <x v="4"/>
    <s v="February"/>
    <x v="2"/>
    <x v="3"/>
    <x v="3"/>
    <x v="1"/>
    <n v="940.72"/>
    <n v="6"/>
    <n v="25"/>
    <s v="Yes"/>
    <n v="1"/>
    <x v="0"/>
    <n v="1"/>
  </r>
  <r>
    <s v="BK00061"/>
    <s v="CUST4389"/>
    <x v="52"/>
    <d v="2024-03-11T00:00:00"/>
    <d v="2024-03-19T00:00:00"/>
    <x v="3"/>
    <x v="4"/>
    <s v="February"/>
    <x v="0"/>
    <x v="3"/>
    <x v="5"/>
    <x v="0"/>
    <n v="980.06"/>
    <n v="8"/>
    <n v="5"/>
    <s v="Yes"/>
    <n v="1"/>
    <x v="1"/>
    <n v="0"/>
  </r>
  <r>
    <s v="BK00165"/>
    <s v="CUST4849"/>
    <x v="52"/>
    <d v="2024-03-07T00:00:00"/>
    <d v="2024-03-16T00:00:00"/>
    <x v="3"/>
    <x v="4"/>
    <s v="February"/>
    <x v="2"/>
    <x v="0"/>
    <x v="2"/>
    <x v="2"/>
    <n v="169.96"/>
    <n v="9"/>
    <n v="0"/>
    <s v="No"/>
    <n v="0"/>
    <x v="1"/>
    <n v="0"/>
  </r>
  <r>
    <s v="BK00248"/>
    <s v="CUST8848"/>
    <x v="52"/>
    <d v="2024-03-06T00:00:00"/>
    <d v="2024-03-08T00:00:00"/>
    <x v="3"/>
    <x v="4"/>
    <s v="February"/>
    <x v="2"/>
    <x v="3"/>
    <x v="0"/>
    <x v="3"/>
    <n v="1439.08"/>
    <n v="2"/>
    <n v="20"/>
    <s v="Yes"/>
    <n v="1"/>
    <x v="1"/>
    <n v="0"/>
  </r>
  <r>
    <s v="BK00329"/>
    <s v="CUST5973"/>
    <x v="52"/>
    <d v="2024-03-14T00:00:00"/>
    <d v="2024-03-15T00:00:00"/>
    <x v="3"/>
    <x v="4"/>
    <s v="February"/>
    <x v="1"/>
    <x v="2"/>
    <x v="0"/>
    <x v="2"/>
    <n v="1077.8599999999999"/>
    <n v="1"/>
    <n v="20"/>
    <s v="Yes"/>
    <n v="1"/>
    <x v="1"/>
    <n v="0"/>
  </r>
  <r>
    <s v="BK00484"/>
    <s v="CUST7326"/>
    <x v="52"/>
    <d v="2024-03-24T00:00:00"/>
    <d v="2024-04-03T00:00:00"/>
    <x v="3"/>
    <x v="4"/>
    <s v="February"/>
    <x v="1"/>
    <x v="1"/>
    <x v="0"/>
    <x v="2"/>
    <n v="143.15"/>
    <n v="10"/>
    <n v="10"/>
    <s v="Yes"/>
    <n v="1"/>
    <x v="0"/>
    <n v="1"/>
  </r>
  <r>
    <s v="BK00107"/>
    <s v="CUST7917"/>
    <x v="53"/>
    <d v="2024-03-24T00:00:00"/>
    <d v="2024-03-25T00:00:00"/>
    <x v="3"/>
    <x v="5"/>
    <s v="February"/>
    <x v="2"/>
    <x v="2"/>
    <x v="0"/>
    <x v="3"/>
    <n v="1166.1300000000001"/>
    <n v="1"/>
    <n v="25"/>
    <s v="Yes"/>
    <n v="1"/>
    <x v="0"/>
    <n v="1"/>
  </r>
  <r>
    <s v="BK00333"/>
    <s v="CUST6766"/>
    <x v="53"/>
    <d v="2024-03-06T00:00:00"/>
    <d v="2024-03-07T00:00:00"/>
    <x v="3"/>
    <x v="5"/>
    <s v="February"/>
    <x v="1"/>
    <x v="2"/>
    <x v="5"/>
    <x v="2"/>
    <n v="133.94"/>
    <n v="1"/>
    <n v="10"/>
    <s v="Yes"/>
    <n v="1"/>
    <x v="1"/>
    <n v="0"/>
  </r>
  <r>
    <s v="BK00357"/>
    <s v="CUST2046"/>
    <x v="53"/>
    <d v="2024-03-15T00:00:00"/>
    <d v="2024-03-25T00:00:00"/>
    <x v="3"/>
    <x v="5"/>
    <s v="February"/>
    <x v="2"/>
    <x v="2"/>
    <x v="4"/>
    <x v="2"/>
    <n v="904.68"/>
    <n v="10"/>
    <n v="0"/>
    <s v="No"/>
    <n v="0"/>
    <x v="1"/>
    <n v="0"/>
  </r>
  <r>
    <s v="BK00073"/>
    <s v="CUST2003"/>
    <x v="54"/>
    <d v="2024-02-26T00:00:00"/>
    <d v="2024-03-03T00:00:00"/>
    <x v="4"/>
    <x v="6"/>
    <s v="February"/>
    <x v="0"/>
    <x v="2"/>
    <x v="1"/>
    <x v="3"/>
    <n v="697.57"/>
    <n v="6"/>
    <n v="5"/>
    <s v="Yes"/>
    <n v="1"/>
    <x v="1"/>
    <n v="0"/>
  </r>
  <r>
    <s v="BK00126"/>
    <s v="CUST2922"/>
    <x v="54"/>
    <d v="2024-03-07T00:00:00"/>
    <d v="2024-03-13T00:00:00"/>
    <x v="4"/>
    <x v="6"/>
    <s v="February"/>
    <x v="1"/>
    <x v="2"/>
    <x v="5"/>
    <x v="1"/>
    <n v="1454.41"/>
    <n v="6"/>
    <n v="25"/>
    <s v="Yes"/>
    <n v="1"/>
    <x v="0"/>
    <n v="1"/>
  </r>
  <r>
    <s v="BK00188"/>
    <s v="CUST5790"/>
    <x v="54"/>
    <d v="2024-03-01T00:00:00"/>
    <d v="2024-03-02T00:00:00"/>
    <x v="4"/>
    <x v="6"/>
    <s v="February"/>
    <x v="2"/>
    <x v="0"/>
    <x v="2"/>
    <x v="0"/>
    <n v="128.44"/>
    <n v="1"/>
    <n v="20"/>
    <s v="Yes"/>
    <n v="1"/>
    <x v="1"/>
    <n v="0"/>
  </r>
  <r>
    <s v="BK00194"/>
    <s v="CUST5236"/>
    <x v="54"/>
    <d v="2024-03-12T00:00:00"/>
    <d v="2024-03-15T00:00:00"/>
    <x v="4"/>
    <x v="6"/>
    <s v="February"/>
    <x v="0"/>
    <x v="1"/>
    <x v="1"/>
    <x v="2"/>
    <n v="119.65"/>
    <n v="3"/>
    <n v="15"/>
    <s v="Yes"/>
    <n v="1"/>
    <x v="0"/>
    <n v="1"/>
  </r>
  <r>
    <s v="BK00264"/>
    <s v="CUST5812"/>
    <x v="54"/>
    <d v="2024-03-15T00:00:00"/>
    <d v="2024-03-20T00:00:00"/>
    <x v="4"/>
    <x v="6"/>
    <s v="February"/>
    <x v="2"/>
    <x v="3"/>
    <x v="0"/>
    <x v="1"/>
    <n v="1274.3699999999999"/>
    <n v="5"/>
    <n v="25"/>
    <s v="Yes"/>
    <n v="1"/>
    <x v="0"/>
    <n v="1"/>
  </r>
  <r>
    <s v="BK00267"/>
    <s v="CUST4101"/>
    <x v="54"/>
    <d v="2024-03-09T00:00:00"/>
    <d v="2024-03-17T00:00:00"/>
    <x v="4"/>
    <x v="6"/>
    <s v="February"/>
    <x v="0"/>
    <x v="2"/>
    <x v="3"/>
    <x v="0"/>
    <n v="858.26"/>
    <n v="8"/>
    <n v="0"/>
    <s v="No"/>
    <n v="0"/>
    <x v="1"/>
    <n v="0"/>
  </r>
  <r>
    <s v="BK00311"/>
    <s v="CUST5096"/>
    <x v="54"/>
    <d v="2024-03-24T00:00:00"/>
    <d v="2024-03-28T00:00:00"/>
    <x v="4"/>
    <x v="6"/>
    <s v="February"/>
    <x v="0"/>
    <x v="3"/>
    <x v="4"/>
    <x v="3"/>
    <n v="1010.52"/>
    <n v="4"/>
    <n v="25"/>
    <s v="Yes"/>
    <n v="1"/>
    <x v="1"/>
    <n v="0"/>
  </r>
  <r>
    <s v="BK00401"/>
    <s v="CUST7763"/>
    <x v="54"/>
    <d v="2024-03-08T00:00:00"/>
    <d v="2024-03-12T00:00:00"/>
    <x v="4"/>
    <x v="6"/>
    <s v="February"/>
    <x v="1"/>
    <x v="3"/>
    <x v="4"/>
    <x v="2"/>
    <n v="1448.37"/>
    <n v="4"/>
    <n v="0"/>
    <s v="No"/>
    <n v="0"/>
    <x v="1"/>
    <n v="0"/>
  </r>
  <r>
    <s v="BK00454"/>
    <s v="CUST4243"/>
    <x v="54"/>
    <d v="2024-03-13T00:00:00"/>
    <d v="2024-03-20T00:00:00"/>
    <x v="4"/>
    <x v="6"/>
    <s v="February"/>
    <x v="1"/>
    <x v="2"/>
    <x v="0"/>
    <x v="1"/>
    <n v="1151.8"/>
    <n v="7"/>
    <n v="25"/>
    <s v="Yes"/>
    <n v="1"/>
    <x v="0"/>
    <n v="1"/>
  </r>
  <r>
    <s v="BK00016"/>
    <s v="CUST4688"/>
    <x v="55"/>
    <d v="2024-03-13T00:00:00"/>
    <d v="2024-03-20T00:00:00"/>
    <x v="4"/>
    <x v="0"/>
    <s v="February"/>
    <x v="1"/>
    <x v="2"/>
    <x v="3"/>
    <x v="0"/>
    <n v="573.47"/>
    <n v="7"/>
    <n v="25"/>
    <s v="Yes"/>
    <n v="1"/>
    <x v="0"/>
    <n v="1"/>
  </r>
  <r>
    <s v="BK00091"/>
    <s v="CUST3236"/>
    <x v="55"/>
    <d v="2024-02-28T00:00:00"/>
    <d v="2024-03-03T00:00:00"/>
    <x v="4"/>
    <x v="0"/>
    <s v="February"/>
    <x v="2"/>
    <x v="3"/>
    <x v="1"/>
    <x v="3"/>
    <n v="685.1"/>
    <n v="4"/>
    <n v="25"/>
    <s v="Yes"/>
    <n v="1"/>
    <x v="1"/>
    <n v="0"/>
  </r>
  <r>
    <s v="BK00232"/>
    <s v="CUST9758"/>
    <x v="55"/>
    <d v="2024-03-26T00:00:00"/>
    <d v="2024-04-01T00:00:00"/>
    <x v="4"/>
    <x v="0"/>
    <s v="February"/>
    <x v="1"/>
    <x v="3"/>
    <x v="3"/>
    <x v="3"/>
    <n v="285.76"/>
    <n v="6"/>
    <n v="20"/>
    <s v="Yes"/>
    <n v="1"/>
    <x v="1"/>
    <n v="0"/>
  </r>
  <r>
    <s v="BK00314"/>
    <s v="CUST5407"/>
    <x v="55"/>
    <d v="2024-03-14T00:00:00"/>
    <d v="2024-03-21T00:00:00"/>
    <x v="4"/>
    <x v="0"/>
    <s v="February"/>
    <x v="2"/>
    <x v="1"/>
    <x v="5"/>
    <x v="3"/>
    <n v="160.36000000000001"/>
    <n v="7"/>
    <n v="15"/>
    <s v="Yes"/>
    <n v="1"/>
    <x v="0"/>
    <n v="1"/>
  </r>
  <r>
    <s v="BK00332"/>
    <s v="CUST8475"/>
    <x v="55"/>
    <d v="2024-03-10T00:00:00"/>
    <d v="2024-03-13T00:00:00"/>
    <x v="4"/>
    <x v="0"/>
    <s v="February"/>
    <x v="2"/>
    <x v="1"/>
    <x v="5"/>
    <x v="2"/>
    <n v="654.20000000000005"/>
    <n v="3"/>
    <n v="20"/>
    <s v="Yes"/>
    <n v="1"/>
    <x v="1"/>
    <n v="0"/>
  </r>
  <r>
    <s v="BK00403"/>
    <s v="CUST2411"/>
    <x v="55"/>
    <d v="2024-03-12T00:00:00"/>
    <d v="2024-03-14T00:00:00"/>
    <x v="4"/>
    <x v="0"/>
    <s v="February"/>
    <x v="0"/>
    <x v="2"/>
    <x v="1"/>
    <x v="3"/>
    <n v="1450.36"/>
    <n v="2"/>
    <n v="10"/>
    <s v="Yes"/>
    <n v="1"/>
    <x v="0"/>
    <n v="1"/>
  </r>
  <r>
    <s v="BK00477"/>
    <s v="CUST4778"/>
    <x v="55"/>
    <d v="2024-03-01T00:00:00"/>
    <d v="2024-03-04T00:00:00"/>
    <x v="4"/>
    <x v="0"/>
    <s v="February"/>
    <x v="1"/>
    <x v="3"/>
    <x v="5"/>
    <x v="0"/>
    <n v="448.54"/>
    <n v="3"/>
    <n v="0"/>
    <s v="No"/>
    <n v="0"/>
    <x v="0"/>
    <n v="1"/>
  </r>
  <r>
    <s v="BK00146"/>
    <s v="CUST4701"/>
    <x v="56"/>
    <d v="2024-03-27T00:00:00"/>
    <d v="2024-03-30T00:00:00"/>
    <x v="4"/>
    <x v="1"/>
    <s v="February"/>
    <x v="1"/>
    <x v="0"/>
    <x v="5"/>
    <x v="2"/>
    <n v="943.23"/>
    <n v="3"/>
    <n v="15"/>
    <s v="Yes"/>
    <n v="1"/>
    <x v="0"/>
    <n v="1"/>
  </r>
  <r>
    <s v="BK00285"/>
    <s v="CUST3196"/>
    <x v="56"/>
    <d v="2024-03-20T00:00:00"/>
    <d v="2024-03-29T00:00:00"/>
    <x v="4"/>
    <x v="1"/>
    <s v="February"/>
    <x v="0"/>
    <x v="3"/>
    <x v="5"/>
    <x v="2"/>
    <n v="674.37"/>
    <n v="9"/>
    <n v="25"/>
    <s v="Yes"/>
    <n v="1"/>
    <x v="1"/>
    <n v="0"/>
  </r>
  <r>
    <s v="BK00308"/>
    <s v="CUST5876"/>
    <x v="56"/>
    <d v="2024-03-09T00:00:00"/>
    <d v="2024-03-11T00:00:00"/>
    <x v="4"/>
    <x v="1"/>
    <s v="February"/>
    <x v="0"/>
    <x v="1"/>
    <x v="5"/>
    <x v="2"/>
    <n v="857.63"/>
    <n v="2"/>
    <n v="0"/>
    <s v="No"/>
    <n v="0"/>
    <x v="0"/>
    <n v="1"/>
  </r>
  <r>
    <s v="BK00340"/>
    <s v="CUST2015"/>
    <x v="56"/>
    <d v="2024-03-15T00:00:00"/>
    <d v="2024-03-20T00:00:00"/>
    <x v="4"/>
    <x v="1"/>
    <s v="February"/>
    <x v="1"/>
    <x v="3"/>
    <x v="2"/>
    <x v="0"/>
    <n v="786.41"/>
    <n v="5"/>
    <n v="20"/>
    <s v="Yes"/>
    <n v="1"/>
    <x v="0"/>
    <n v="1"/>
  </r>
  <r>
    <s v="BK00405"/>
    <s v="CUST2310"/>
    <x v="56"/>
    <d v="2024-03-26T00:00:00"/>
    <d v="2024-04-03T00:00:00"/>
    <x v="4"/>
    <x v="1"/>
    <s v="February"/>
    <x v="2"/>
    <x v="2"/>
    <x v="4"/>
    <x v="0"/>
    <n v="1365.7"/>
    <n v="8"/>
    <n v="0"/>
    <s v="No"/>
    <n v="0"/>
    <x v="1"/>
    <n v="0"/>
  </r>
  <r>
    <s v="BK00459"/>
    <s v="CUST9880"/>
    <x v="56"/>
    <d v="2024-03-27T00:00:00"/>
    <d v="2024-03-31T00:00:00"/>
    <x v="4"/>
    <x v="1"/>
    <s v="February"/>
    <x v="1"/>
    <x v="3"/>
    <x v="0"/>
    <x v="3"/>
    <n v="327.71"/>
    <n v="4"/>
    <n v="20"/>
    <s v="Yes"/>
    <n v="1"/>
    <x v="1"/>
    <n v="0"/>
  </r>
  <r>
    <s v="BK00475"/>
    <s v="CUST1076"/>
    <x v="56"/>
    <d v="2024-03-22T00:00:00"/>
    <d v="2024-03-30T00:00:00"/>
    <x v="4"/>
    <x v="1"/>
    <s v="February"/>
    <x v="2"/>
    <x v="2"/>
    <x v="1"/>
    <x v="1"/>
    <n v="214.03"/>
    <n v="8"/>
    <n v="15"/>
    <s v="Yes"/>
    <n v="1"/>
    <x v="0"/>
    <n v="1"/>
  </r>
  <r>
    <s v="BK00066"/>
    <s v="CUST8550"/>
    <x v="57"/>
    <d v="2024-03-26T00:00:00"/>
    <d v="2024-03-30T00:00:00"/>
    <x v="4"/>
    <x v="2"/>
    <s v="February"/>
    <x v="2"/>
    <x v="1"/>
    <x v="1"/>
    <x v="2"/>
    <n v="291.49"/>
    <n v="4"/>
    <n v="25"/>
    <s v="Yes"/>
    <n v="1"/>
    <x v="0"/>
    <n v="1"/>
  </r>
  <r>
    <s v="BK00074"/>
    <s v="CUST4252"/>
    <x v="57"/>
    <d v="2024-03-11T00:00:00"/>
    <d v="2024-03-14T00:00:00"/>
    <x v="4"/>
    <x v="2"/>
    <s v="February"/>
    <x v="1"/>
    <x v="2"/>
    <x v="5"/>
    <x v="0"/>
    <n v="1027.05"/>
    <n v="3"/>
    <n v="5"/>
    <s v="Yes"/>
    <n v="1"/>
    <x v="0"/>
    <n v="1"/>
  </r>
  <r>
    <s v="BK00208"/>
    <s v="CUST8196"/>
    <x v="57"/>
    <d v="2024-03-26T00:00:00"/>
    <d v="2024-04-05T00:00:00"/>
    <x v="4"/>
    <x v="2"/>
    <s v="February"/>
    <x v="0"/>
    <x v="3"/>
    <x v="0"/>
    <x v="2"/>
    <n v="1407.86"/>
    <n v="10"/>
    <n v="15"/>
    <s v="Yes"/>
    <n v="1"/>
    <x v="0"/>
    <n v="1"/>
  </r>
  <r>
    <s v="BK00291"/>
    <s v="CUST9362"/>
    <x v="57"/>
    <d v="2024-03-18T00:00:00"/>
    <d v="2024-03-28T00:00:00"/>
    <x v="4"/>
    <x v="2"/>
    <s v="February"/>
    <x v="2"/>
    <x v="2"/>
    <x v="1"/>
    <x v="3"/>
    <n v="1115.45"/>
    <n v="10"/>
    <n v="10"/>
    <s v="Yes"/>
    <n v="1"/>
    <x v="1"/>
    <n v="0"/>
  </r>
  <r>
    <s v="BK00322"/>
    <s v="CUST2232"/>
    <x v="57"/>
    <d v="2024-03-18T00:00:00"/>
    <d v="2024-03-20T00:00:00"/>
    <x v="4"/>
    <x v="2"/>
    <s v="February"/>
    <x v="2"/>
    <x v="0"/>
    <x v="1"/>
    <x v="2"/>
    <n v="158.71"/>
    <n v="2"/>
    <n v="5"/>
    <s v="Yes"/>
    <n v="1"/>
    <x v="1"/>
    <n v="0"/>
  </r>
  <r>
    <s v="BK00372"/>
    <s v="CUST7529"/>
    <x v="57"/>
    <d v="2024-03-05T00:00:00"/>
    <d v="2024-03-12T00:00:00"/>
    <x v="4"/>
    <x v="2"/>
    <s v="February"/>
    <x v="0"/>
    <x v="3"/>
    <x v="4"/>
    <x v="0"/>
    <n v="1101.69"/>
    <n v="7"/>
    <n v="5"/>
    <s v="Yes"/>
    <n v="1"/>
    <x v="0"/>
    <n v="1"/>
  </r>
  <r>
    <s v="BK00390"/>
    <s v="CUST8416"/>
    <x v="57"/>
    <d v="2024-03-24T00:00:00"/>
    <d v="2024-03-31T00:00:00"/>
    <x v="4"/>
    <x v="2"/>
    <s v="February"/>
    <x v="0"/>
    <x v="2"/>
    <x v="2"/>
    <x v="1"/>
    <n v="632.92999999999995"/>
    <n v="7"/>
    <n v="10"/>
    <s v="Yes"/>
    <n v="1"/>
    <x v="1"/>
    <n v="0"/>
  </r>
  <r>
    <s v="BK00414"/>
    <s v="CUST9228"/>
    <x v="58"/>
    <d v="2024-03-20T00:00:00"/>
    <d v="2024-03-25T00:00:00"/>
    <x v="4"/>
    <x v="3"/>
    <s v="February"/>
    <x v="1"/>
    <x v="2"/>
    <x v="5"/>
    <x v="0"/>
    <n v="921.74"/>
    <n v="5"/>
    <n v="5"/>
    <s v="Yes"/>
    <n v="1"/>
    <x v="0"/>
    <n v="1"/>
  </r>
  <r>
    <s v="BK00423"/>
    <s v="CUST9618"/>
    <x v="58"/>
    <d v="2024-03-26T00:00:00"/>
    <d v="2024-03-29T00:00:00"/>
    <x v="4"/>
    <x v="3"/>
    <s v="February"/>
    <x v="0"/>
    <x v="0"/>
    <x v="2"/>
    <x v="1"/>
    <n v="303.87"/>
    <n v="3"/>
    <n v="5"/>
    <s v="Yes"/>
    <n v="1"/>
    <x v="0"/>
    <n v="1"/>
  </r>
  <r>
    <s v="BK00096"/>
    <s v="CUST3840"/>
    <x v="59"/>
    <d v="2024-03-08T00:00:00"/>
    <d v="2024-03-16T00:00:00"/>
    <x v="0"/>
    <x v="4"/>
    <s v="March"/>
    <x v="0"/>
    <x v="2"/>
    <x v="2"/>
    <x v="1"/>
    <n v="790.42"/>
    <n v="8"/>
    <n v="15"/>
    <s v="Yes"/>
    <n v="1"/>
    <x v="0"/>
    <n v="1"/>
  </r>
  <r>
    <s v="BK00197"/>
    <s v="CUST5926"/>
    <x v="59"/>
    <d v="2024-03-26T00:00:00"/>
    <d v="2024-03-28T00:00:00"/>
    <x v="0"/>
    <x v="4"/>
    <s v="March"/>
    <x v="2"/>
    <x v="2"/>
    <x v="3"/>
    <x v="3"/>
    <n v="719.93"/>
    <n v="2"/>
    <n v="10"/>
    <s v="Yes"/>
    <n v="1"/>
    <x v="1"/>
    <n v="0"/>
  </r>
  <r>
    <s v="BK00280"/>
    <s v="CUST5185"/>
    <x v="59"/>
    <d v="2024-03-23T00:00:00"/>
    <d v="2024-03-25T00:00:00"/>
    <x v="0"/>
    <x v="4"/>
    <s v="March"/>
    <x v="1"/>
    <x v="2"/>
    <x v="0"/>
    <x v="1"/>
    <n v="221.24"/>
    <n v="2"/>
    <n v="0"/>
    <s v="No"/>
    <n v="0"/>
    <x v="0"/>
    <n v="1"/>
  </r>
  <r>
    <s v="BK00301"/>
    <s v="CUST3429"/>
    <x v="59"/>
    <d v="2024-03-22T00:00:00"/>
    <d v="2024-03-28T00:00:00"/>
    <x v="0"/>
    <x v="4"/>
    <s v="March"/>
    <x v="0"/>
    <x v="2"/>
    <x v="2"/>
    <x v="2"/>
    <n v="1054.26"/>
    <n v="6"/>
    <n v="10"/>
    <s v="Yes"/>
    <n v="1"/>
    <x v="0"/>
    <n v="1"/>
  </r>
  <r>
    <s v="BK00361"/>
    <s v="CUST9554"/>
    <x v="59"/>
    <d v="2024-03-26T00:00:00"/>
    <d v="2024-03-30T00:00:00"/>
    <x v="0"/>
    <x v="4"/>
    <s v="March"/>
    <x v="2"/>
    <x v="1"/>
    <x v="3"/>
    <x v="3"/>
    <n v="686.66"/>
    <n v="4"/>
    <n v="15"/>
    <s v="Yes"/>
    <n v="1"/>
    <x v="0"/>
    <n v="1"/>
  </r>
  <r>
    <s v="BK00407"/>
    <s v="CUST9554"/>
    <x v="59"/>
    <d v="2024-03-02T00:00:00"/>
    <d v="2024-03-04T00:00:00"/>
    <x v="0"/>
    <x v="4"/>
    <s v="March"/>
    <x v="2"/>
    <x v="3"/>
    <x v="2"/>
    <x v="2"/>
    <n v="1129.97"/>
    <n v="2"/>
    <n v="10"/>
    <s v="Yes"/>
    <n v="1"/>
    <x v="0"/>
    <n v="1"/>
  </r>
  <r>
    <s v="BK00443"/>
    <s v="CUST7540"/>
    <x v="59"/>
    <d v="2024-03-10T00:00:00"/>
    <d v="2024-03-16T00:00:00"/>
    <x v="0"/>
    <x v="4"/>
    <s v="March"/>
    <x v="0"/>
    <x v="0"/>
    <x v="4"/>
    <x v="2"/>
    <n v="613.9"/>
    <n v="6"/>
    <n v="0"/>
    <s v="No"/>
    <n v="0"/>
    <x v="0"/>
    <n v="1"/>
  </r>
  <r>
    <s v="BK00448"/>
    <s v="CUST9608"/>
    <x v="59"/>
    <d v="2024-03-05T00:00:00"/>
    <d v="2024-03-14T00:00:00"/>
    <x v="0"/>
    <x v="4"/>
    <s v="March"/>
    <x v="2"/>
    <x v="2"/>
    <x v="3"/>
    <x v="3"/>
    <n v="774.18"/>
    <n v="9"/>
    <n v="0"/>
    <s v="No"/>
    <n v="0"/>
    <x v="0"/>
    <n v="1"/>
  </r>
  <r>
    <s v="BK00451"/>
    <s v="CUST8385"/>
    <x v="59"/>
    <d v="2024-03-29T00:00:00"/>
    <d v="2024-04-07T00:00:00"/>
    <x v="0"/>
    <x v="4"/>
    <s v="March"/>
    <x v="1"/>
    <x v="0"/>
    <x v="4"/>
    <x v="2"/>
    <n v="981.31"/>
    <n v="9"/>
    <n v="15"/>
    <s v="Yes"/>
    <n v="1"/>
    <x v="1"/>
    <n v="0"/>
  </r>
  <r>
    <s v="BK00486"/>
    <s v="CUST5529"/>
    <x v="59"/>
    <d v="2024-03-28T00:00:00"/>
    <d v="2024-04-07T00:00:00"/>
    <x v="0"/>
    <x v="4"/>
    <s v="March"/>
    <x v="2"/>
    <x v="1"/>
    <x v="2"/>
    <x v="2"/>
    <n v="1432.71"/>
    <n v="10"/>
    <n v="15"/>
    <s v="Yes"/>
    <n v="1"/>
    <x v="0"/>
    <n v="1"/>
  </r>
  <r>
    <s v="BK00121"/>
    <s v="CUST7942"/>
    <x v="60"/>
    <d v="2024-03-04T00:00:00"/>
    <d v="2024-03-09T00:00:00"/>
    <x v="0"/>
    <x v="5"/>
    <s v="March"/>
    <x v="0"/>
    <x v="0"/>
    <x v="5"/>
    <x v="1"/>
    <n v="447.67"/>
    <n v="5"/>
    <n v="25"/>
    <s v="Yes"/>
    <n v="1"/>
    <x v="0"/>
    <n v="1"/>
  </r>
  <r>
    <s v="BK00203"/>
    <s v="CUST5334"/>
    <x v="60"/>
    <d v="2024-03-23T00:00:00"/>
    <d v="2024-03-27T00:00:00"/>
    <x v="0"/>
    <x v="5"/>
    <s v="March"/>
    <x v="0"/>
    <x v="3"/>
    <x v="5"/>
    <x v="2"/>
    <n v="793.39"/>
    <n v="4"/>
    <n v="20"/>
    <s v="Yes"/>
    <n v="1"/>
    <x v="1"/>
    <n v="0"/>
  </r>
  <r>
    <s v="BK00210"/>
    <s v="CUST6361"/>
    <x v="60"/>
    <d v="2024-03-21T00:00:00"/>
    <d v="2024-03-25T00:00:00"/>
    <x v="0"/>
    <x v="5"/>
    <s v="March"/>
    <x v="2"/>
    <x v="1"/>
    <x v="3"/>
    <x v="1"/>
    <n v="1188.54"/>
    <n v="4"/>
    <n v="15"/>
    <s v="Yes"/>
    <n v="1"/>
    <x v="0"/>
    <n v="1"/>
  </r>
  <r>
    <s v="BK00330"/>
    <s v="CUST7564"/>
    <x v="60"/>
    <d v="2024-03-13T00:00:00"/>
    <d v="2024-03-17T00:00:00"/>
    <x v="0"/>
    <x v="5"/>
    <s v="March"/>
    <x v="2"/>
    <x v="2"/>
    <x v="4"/>
    <x v="3"/>
    <n v="855.69"/>
    <n v="4"/>
    <n v="10"/>
    <s v="Yes"/>
    <n v="1"/>
    <x v="1"/>
    <n v="0"/>
  </r>
  <r>
    <s v="BK00402"/>
    <s v="CUST3556"/>
    <x v="60"/>
    <d v="2024-03-29T00:00:00"/>
    <d v="2024-04-07T00:00:00"/>
    <x v="0"/>
    <x v="5"/>
    <s v="March"/>
    <x v="1"/>
    <x v="2"/>
    <x v="4"/>
    <x v="2"/>
    <n v="1214.1600000000001"/>
    <n v="9"/>
    <n v="20"/>
    <s v="Yes"/>
    <n v="1"/>
    <x v="0"/>
    <n v="1"/>
  </r>
  <r>
    <s v="BK00490"/>
    <s v="CUST7884"/>
    <x v="60"/>
    <d v="2024-03-29T00:00:00"/>
    <d v="2024-04-04T00:00:00"/>
    <x v="0"/>
    <x v="5"/>
    <s v="March"/>
    <x v="0"/>
    <x v="1"/>
    <x v="5"/>
    <x v="2"/>
    <n v="1093.97"/>
    <n v="6"/>
    <n v="25"/>
    <s v="Yes"/>
    <n v="1"/>
    <x v="0"/>
    <n v="1"/>
  </r>
  <r>
    <s v="BK00012"/>
    <s v="CUST4210"/>
    <x v="61"/>
    <d v="2024-03-16T00:00:00"/>
    <d v="2024-03-19T00:00:00"/>
    <x v="1"/>
    <x v="6"/>
    <s v="March"/>
    <x v="1"/>
    <x v="2"/>
    <x v="1"/>
    <x v="1"/>
    <n v="1092.81"/>
    <n v="3"/>
    <n v="25"/>
    <s v="Yes"/>
    <n v="1"/>
    <x v="0"/>
    <n v="1"/>
  </r>
  <r>
    <s v="BK00035"/>
    <s v="CUST9471"/>
    <x v="61"/>
    <d v="2024-03-07T00:00:00"/>
    <d v="2024-03-10T00:00:00"/>
    <x v="1"/>
    <x v="6"/>
    <s v="March"/>
    <x v="1"/>
    <x v="3"/>
    <x v="5"/>
    <x v="0"/>
    <n v="999.97"/>
    <n v="3"/>
    <n v="0"/>
    <s v="No"/>
    <n v="0"/>
    <x v="0"/>
    <n v="1"/>
  </r>
  <r>
    <s v="BK00206"/>
    <s v="CUST5353"/>
    <x v="61"/>
    <d v="2024-03-04T00:00:00"/>
    <d v="2024-03-06T00:00:00"/>
    <x v="1"/>
    <x v="6"/>
    <s v="March"/>
    <x v="1"/>
    <x v="3"/>
    <x v="0"/>
    <x v="1"/>
    <n v="721.87"/>
    <n v="2"/>
    <n v="15"/>
    <s v="Yes"/>
    <n v="1"/>
    <x v="0"/>
    <n v="1"/>
  </r>
  <r>
    <s v="BK00290"/>
    <s v="CUST7466"/>
    <x v="61"/>
    <d v="2024-03-16T00:00:00"/>
    <d v="2024-03-22T00:00:00"/>
    <x v="1"/>
    <x v="6"/>
    <s v="March"/>
    <x v="0"/>
    <x v="2"/>
    <x v="3"/>
    <x v="1"/>
    <n v="123.37"/>
    <n v="6"/>
    <n v="5"/>
    <s v="Yes"/>
    <n v="1"/>
    <x v="1"/>
    <n v="0"/>
  </r>
  <r>
    <s v="BK00313"/>
    <s v="CUST8570"/>
    <x v="61"/>
    <d v="2024-03-10T00:00:00"/>
    <d v="2024-03-20T00:00:00"/>
    <x v="1"/>
    <x v="6"/>
    <s v="March"/>
    <x v="1"/>
    <x v="0"/>
    <x v="0"/>
    <x v="2"/>
    <n v="176.99"/>
    <n v="10"/>
    <n v="25"/>
    <s v="Yes"/>
    <n v="1"/>
    <x v="0"/>
    <n v="1"/>
  </r>
  <r>
    <s v="BK00327"/>
    <s v="CUST6141"/>
    <x v="61"/>
    <d v="2024-03-30T00:00:00"/>
    <d v="2024-03-31T00:00:00"/>
    <x v="1"/>
    <x v="6"/>
    <s v="March"/>
    <x v="2"/>
    <x v="0"/>
    <x v="0"/>
    <x v="2"/>
    <n v="732.58"/>
    <n v="1"/>
    <n v="10"/>
    <s v="Yes"/>
    <n v="1"/>
    <x v="1"/>
    <n v="0"/>
  </r>
  <r>
    <s v="BK00360"/>
    <s v="CUST1503"/>
    <x v="61"/>
    <d v="2024-04-01T00:00:00"/>
    <d v="2024-04-07T00:00:00"/>
    <x v="1"/>
    <x v="6"/>
    <s v="March"/>
    <x v="0"/>
    <x v="1"/>
    <x v="5"/>
    <x v="2"/>
    <n v="940.86"/>
    <n v="6"/>
    <n v="25"/>
    <s v="Yes"/>
    <n v="1"/>
    <x v="0"/>
    <n v="1"/>
  </r>
  <r>
    <s v="BK00483"/>
    <s v="CUST6566"/>
    <x v="61"/>
    <d v="2024-03-05T00:00:00"/>
    <d v="2024-03-06T00:00:00"/>
    <x v="1"/>
    <x v="6"/>
    <s v="March"/>
    <x v="0"/>
    <x v="1"/>
    <x v="2"/>
    <x v="2"/>
    <n v="1481.15"/>
    <n v="1"/>
    <n v="5"/>
    <s v="Yes"/>
    <n v="1"/>
    <x v="1"/>
    <n v="0"/>
  </r>
  <r>
    <s v="BK00156"/>
    <s v="CUST1623"/>
    <x v="62"/>
    <d v="2024-03-20T00:00:00"/>
    <d v="2024-03-26T00:00:00"/>
    <x v="1"/>
    <x v="0"/>
    <s v="March"/>
    <x v="0"/>
    <x v="1"/>
    <x v="4"/>
    <x v="0"/>
    <n v="1391.11"/>
    <n v="6"/>
    <n v="15"/>
    <s v="Yes"/>
    <n v="1"/>
    <x v="1"/>
    <n v="0"/>
  </r>
  <r>
    <s v="BK00160"/>
    <s v="CUST5108"/>
    <x v="62"/>
    <d v="2024-04-01T00:00:00"/>
    <d v="2024-04-10T00:00:00"/>
    <x v="1"/>
    <x v="0"/>
    <s v="March"/>
    <x v="0"/>
    <x v="1"/>
    <x v="3"/>
    <x v="2"/>
    <n v="264.33"/>
    <n v="9"/>
    <n v="10"/>
    <s v="Yes"/>
    <n v="1"/>
    <x v="0"/>
    <n v="1"/>
  </r>
  <r>
    <s v="BK00185"/>
    <s v="CUST6556"/>
    <x v="62"/>
    <d v="2024-03-11T00:00:00"/>
    <d v="2024-03-15T00:00:00"/>
    <x v="1"/>
    <x v="0"/>
    <s v="March"/>
    <x v="0"/>
    <x v="2"/>
    <x v="2"/>
    <x v="0"/>
    <n v="787.96"/>
    <n v="4"/>
    <n v="10"/>
    <s v="Yes"/>
    <n v="1"/>
    <x v="1"/>
    <n v="0"/>
  </r>
  <r>
    <s v="BK00222"/>
    <s v="CUST4859"/>
    <x v="62"/>
    <d v="2024-03-20T00:00:00"/>
    <d v="2024-03-30T00:00:00"/>
    <x v="1"/>
    <x v="0"/>
    <s v="March"/>
    <x v="2"/>
    <x v="1"/>
    <x v="0"/>
    <x v="0"/>
    <n v="696.67"/>
    <n v="10"/>
    <n v="10"/>
    <s v="Yes"/>
    <n v="1"/>
    <x v="1"/>
    <n v="0"/>
  </r>
  <r>
    <s v="BK00249"/>
    <s v="CUST4194"/>
    <x v="62"/>
    <d v="2024-03-14T00:00:00"/>
    <d v="2024-03-18T00:00:00"/>
    <x v="1"/>
    <x v="0"/>
    <s v="March"/>
    <x v="1"/>
    <x v="0"/>
    <x v="4"/>
    <x v="0"/>
    <n v="1422.35"/>
    <n v="4"/>
    <n v="15"/>
    <s v="Yes"/>
    <n v="1"/>
    <x v="1"/>
    <n v="0"/>
  </r>
  <r>
    <s v="BK00306"/>
    <s v="CUST3527"/>
    <x v="62"/>
    <d v="2024-03-10T00:00:00"/>
    <d v="2024-03-19T00:00:00"/>
    <x v="1"/>
    <x v="0"/>
    <s v="March"/>
    <x v="0"/>
    <x v="2"/>
    <x v="3"/>
    <x v="3"/>
    <n v="109.15"/>
    <n v="9"/>
    <n v="10"/>
    <s v="Yes"/>
    <n v="1"/>
    <x v="1"/>
    <n v="0"/>
  </r>
  <r>
    <s v="BK00365"/>
    <s v="CUST7075"/>
    <x v="62"/>
    <d v="2024-03-08T00:00:00"/>
    <d v="2024-03-14T00:00:00"/>
    <x v="1"/>
    <x v="0"/>
    <s v="March"/>
    <x v="0"/>
    <x v="2"/>
    <x v="4"/>
    <x v="0"/>
    <n v="1168.08"/>
    <n v="6"/>
    <n v="5"/>
    <s v="Yes"/>
    <n v="1"/>
    <x v="1"/>
    <n v="0"/>
  </r>
  <r>
    <s v="BK00389"/>
    <s v="CUST8359"/>
    <x v="62"/>
    <d v="2024-03-17T00:00:00"/>
    <d v="2024-03-22T00:00:00"/>
    <x v="1"/>
    <x v="0"/>
    <s v="March"/>
    <x v="0"/>
    <x v="0"/>
    <x v="2"/>
    <x v="2"/>
    <n v="1393.81"/>
    <n v="5"/>
    <n v="20"/>
    <s v="Yes"/>
    <n v="1"/>
    <x v="1"/>
    <n v="0"/>
  </r>
  <r>
    <s v="BK00470"/>
    <s v="CUST7329"/>
    <x v="62"/>
    <d v="2024-03-27T00:00:00"/>
    <d v="2024-04-02T00:00:00"/>
    <x v="1"/>
    <x v="0"/>
    <s v="March"/>
    <x v="2"/>
    <x v="1"/>
    <x v="4"/>
    <x v="2"/>
    <n v="942.17"/>
    <n v="6"/>
    <n v="20"/>
    <s v="Yes"/>
    <n v="1"/>
    <x v="0"/>
    <n v="1"/>
  </r>
  <r>
    <s v="BK00478"/>
    <s v="CUST5291"/>
    <x v="62"/>
    <d v="2024-03-25T00:00:00"/>
    <d v="2024-03-29T00:00:00"/>
    <x v="1"/>
    <x v="0"/>
    <s v="March"/>
    <x v="2"/>
    <x v="0"/>
    <x v="2"/>
    <x v="1"/>
    <n v="246.67"/>
    <n v="4"/>
    <n v="0"/>
    <s v="No"/>
    <n v="0"/>
    <x v="1"/>
    <n v="0"/>
  </r>
  <r>
    <s v="BK00157"/>
    <s v="CUST5971"/>
    <x v="63"/>
    <d v="2024-03-25T00:00:00"/>
    <d v="2024-04-04T00:00:00"/>
    <x v="1"/>
    <x v="1"/>
    <s v="March"/>
    <x v="1"/>
    <x v="3"/>
    <x v="3"/>
    <x v="3"/>
    <n v="1489.97"/>
    <n v="10"/>
    <n v="25"/>
    <s v="Yes"/>
    <n v="1"/>
    <x v="0"/>
    <n v="1"/>
  </r>
  <r>
    <s v="BK00326"/>
    <s v="CUST5808"/>
    <x v="63"/>
    <d v="2024-03-19T00:00:00"/>
    <d v="2024-03-26T00:00:00"/>
    <x v="1"/>
    <x v="1"/>
    <s v="March"/>
    <x v="2"/>
    <x v="0"/>
    <x v="4"/>
    <x v="2"/>
    <n v="680.94"/>
    <n v="7"/>
    <n v="25"/>
    <s v="Yes"/>
    <n v="1"/>
    <x v="0"/>
    <n v="1"/>
  </r>
  <r>
    <s v="BK00328"/>
    <s v="CUST1297"/>
    <x v="63"/>
    <d v="2024-04-01T00:00:00"/>
    <d v="2024-04-08T00:00:00"/>
    <x v="1"/>
    <x v="1"/>
    <s v="March"/>
    <x v="2"/>
    <x v="2"/>
    <x v="2"/>
    <x v="0"/>
    <n v="894.38"/>
    <n v="7"/>
    <n v="0"/>
    <s v="No"/>
    <n v="0"/>
    <x v="0"/>
    <n v="1"/>
  </r>
  <r>
    <s v="BK00397"/>
    <s v="CUST8377"/>
    <x v="63"/>
    <d v="2024-03-11T00:00:00"/>
    <d v="2024-03-12T00:00:00"/>
    <x v="1"/>
    <x v="1"/>
    <s v="March"/>
    <x v="0"/>
    <x v="0"/>
    <x v="4"/>
    <x v="1"/>
    <n v="792.2"/>
    <n v="1"/>
    <n v="10"/>
    <s v="Yes"/>
    <n v="1"/>
    <x v="0"/>
    <n v="1"/>
  </r>
  <r>
    <s v="BK00009"/>
    <s v="CUST9997"/>
    <x v="64"/>
    <d v="2024-03-11T00:00:00"/>
    <d v="2024-03-16T00:00:00"/>
    <x v="1"/>
    <x v="2"/>
    <s v="March"/>
    <x v="1"/>
    <x v="3"/>
    <x v="3"/>
    <x v="0"/>
    <n v="147.96"/>
    <n v="5"/>
    <n v="10"/>
    <s v="Yes"/>
    <n v="1"/>
    <x v="1"/>
    <n v="0"/>
  </r>
  <r>
    <s v="BK00077"/>
    <s v="CUST9253"/>
    <x v="64"/>
    <d v="2024-03-09T00:00:00"/>
    <d v="2024-03-14T00:00:00"/>
    <x v="1"/>
    <x v="2"/>
    <s v="March"/>
    <x v="1"/>
    <x v="2"/>
    <x v="1"/>
    <x v="0"/>
    <n v="571.21"/>
    <n v="5"/>
    <n v="25"/>
    <s v="Yes"/>
    <n v="1"/>
    <x v="1"/>
    <n v="0"/>
  </r>
  <r>
    <s v="BK00199"/>
    <s v="CUST1322"/>
    <x v="64"/>
    <d v="2024-03-26T00:00:00"/>
    <d v="2024-03-30T00:00:00"/>
    <x v="1"/>
    <x v="2"/>
    <s v="March"/>
    <x v="0"/>
    <x v="2"/>
    <x v="2"/>
    <x v="0"/>
    <n v="1074.1099999999999"/>
    <n v="4"/>
    <n v="10"/>
    <s v="Yes"/>
    <n v="1"/>
    <x v="1"/>
    <n v="0"/>
  </r>
  <r>
    <s v="BK00217"/>
    <s v="CUST8974"/>
    <x v="64"/>
    <d v="2024-03-17T00:00:00"/>
    <d v="2024-03-18T00:00:00"/>
    <x v="1"/>
    <x v="2"/>
    <s v="March"/>
    <x v="2"/>
    <x v="2"/>
    <x v="2"/>
    <x v="0"/>
    <n v="1218.6600000000001"/>
    <n v="1"/>
    <n v="10"/>
    <s v="Yes"/>
    <n v="1"/>
    <x v="0"/>
    <n v="1"/>
  </r>
  <r>
    <s v="BK00229"/>
    <s v="CUST6046"/>
    <x v="64"/>
    <d v="2024-03-12T00:00:00"/>
    <d v="2024-03-20T00:00:00"/>
    <x v="1"/>
    <x v="2"/>
    <s v="March"/>
    <x v="2"/>
    <x v="1"/>
    <x v="1"/>
    <x v="2"/>
    <n v="1110.6300000000001"/>
    <n v="8"/>
    <n v="15"/>
    <s v="Yes"/>
    <n v="1"/>
    <x v="1"/>
    <n v="0"/>
  </r>
  <r>
    <s v="BK00287"/>
    <s v="CUST4563"/>
    <x v="64"/>
    <d v="2024-04-05T00:00:00"/>
    <d v="2024-04-12T00:00:00"/>
    <x v="1"/>
    <x v="2"/>
    <s v="March"/>
    <x v="1"/>
    <x v="0"/>
    <x v="4"/>
    <x v="3"/>
    <n v="315.67"/>
    <n v="7"/>
    <n v="15"/>
    <s v="Yes"/>
    <n v="1"/>
    <x v="0"/>
    <n v="1"/>
  </r>
  <r>
    <s v="BK00296"/>
    <s v="CUST6654"/>
    <x v="64"/>
    <d v="2024-04-02T00:00:00"/>
    <d v="2024-04-11T00:00:00"/>
    <x v="1"/>
    <x v="2"/>
    <s v="March"/>
    <x v="2"/>
    <x v="0"/>
    <x v="3"/>
    <x v="1"/>
    <n v="1385.11"/>
    <n v="9"/>
    <n v="5"/>
    <s v="Yes"/>
    <n v="1"/>
    <x v="1"/>
    <n v="0"/>
  </r>
  <r>
    <s v="BK00309"/>
    <s v="CUST1373"/>
    <x v="64"/>
    <d v="2024-03-14T00:00:00"/>
    <d v="2024-03-22T00:00:00"/>
    <x v="1"/>
    <x v="2"/>
    <s v="March"/>
    <x v="2"/>
    <x v="2"/>
    <x v="3"/>
    <x v="1"/>
    <n v="271.81"/>
    <n v="8"/>
    <n v="0"/>
    <s v="No"/>
    <n v="0"/>
    <x v="1"/>
    <n v="0"/>
  </r>
  <r>
    <s v="BK00409"/>
    <s v="CUST6327"/>
    <x v="64"/>
    <d v="2024-03-23T00:00:00"/>
    <d v="2024-03-25T00:00:00"/>
    <x v="1"/>
    <x v="2"/>
    <s v="March"/>
    <x v="2"/>
    <x v="2"/>
    <x v="4"/>
    <x v="0"/>
    <n v="602.85"/>
    <n v="2"/>
    <n v="15"/>
    <s v="Yes"/>
    <n v="1"/>
    <x v="1"/>
    <n v="0"/>
  </r>
  <r>
    <s v="BK00425"/>
    <s v="CUST3667"/>
    <x v="64"/>
    <d v="2024-03-10T00:00:00"/>
    <d v="2024-03-11T00:00:00"/>
    <x v="1"/>
    <x v="2"/>
    <s v="March"/>
    <x v="2"/>
    <x v="0"/>
    <x v="5"/>
    <x v="1"/>
    <n v="1488.01"/>
    <n v="1"/>
    <n v="20"/>
    <s v="Yes"/>
    <n v="1"/>
    <x v="1"/>
    <n v="0"/>
  </r>
  <r>
    <s v="BK00445"/>
    <s v="CUST2037"/>
    <x v="64"/>
    <d v="2024-03-10T00:00:00"/>
    <d v="2024-03-14T00:00:00"/>
    <x v="1"/>
    <x v="2"/>
    <s v="March"/>
    <x v="2"/>
    <x v="1"/>
    <x v="1"/>
    <x v="2"/>
    <n v="476.04"/>
    <n v="4"/>
    <n v="25"/>
    <s v="Yes"/>
    <n v="1"/>
    <x v="0"/>
    <n v="1"/>
  </r>
  <r>
    <s v="BK00057"/>
    <s v="CUST3939"/>
    <x v="65"/>
    <d v="2024-03-30T00:00:00"/>
    <d v="2024-04-04T00:00:00"/>
    <x v="1"/>
    <x v="3"/>
    <s v="March"/>
    <x v="2"/>
    <x v="3"/>
    <x v="5"/>
    <x v="2"/>
    <n v="1294.18"/>
    <n v="5"/>
    <n v="0"/>
    <s v="No"/>
    <n v="0"/>
    <x v="0"/>
    <n v="1"/>
  </r>
  <r>
    <s v="BK00284"/>
    <s v="CUST7630"/>
    <x v="65"/>
    <d v="2024-03-21T00:00:00"/>
    <d v="2024-03-28T00:00:00"/>
    <x v="1"/>
    <x v="3"/>
    <s v="March"/>
    <x v="0"/>
    <x v="0"/>
    <x v="1"/>
    <x v="3"/>
    <n v="191.3"/>
    <n v="7"/>
    <n v="25"/>
    <s v="Yes"/>
    <n v="1"/>
    <x v="1"/>
    <n v="0"/>
  </r>
  <r>
    <s v="BK00461"/>
    <s v="CUST7260"/>
    <x v="65"/>
    <d v="2024-03-20T00:00:00"/>
    <d v="2024-03-25T00:00:00"/>
    <x v="1"/>
    <x v="3"/>
    <s v="March"/>
    <x v="0"/>
    <x v="2"/>
    <x v="1"/>
    <x v="1"/>
    <n v="1219.48"/>
    <n v="5"/>
    <n v="5"/>
    <s v="Yes"/>
    <n v="1"/>
    <x v="1"/>
    <n v="0"/>
  </r>
  <r>
    <s v="BK00482"/>
    <s v="CUST1043"/>
    <x v="65"/>
    <d v="2024-04-03T00:00:00"/>
    <d v="2024-04-12T00:00:00"/>
    <x v="1"/>
    <x v="3"/>
    <s v="March"/>
    <x v="1"/>
    <x v="2"/>
    <x v="0"/>
    <x v="3"/>
    <n v="1471.45"/>
    <n v="9"/>
    <n v="0"/>
    <s v="No"/>
    <n v="0"/>
    <x v="1"/>
    <n v="0"/>
  </r>
  <r>
    <s v="BK00003"/>
    <s v="CUST4045"/>
    <x v="66"/>
    <d v="2024-03-21T00:00:00"/>
    <d v="2024-03-26T00:00:00"/>
    <x v="1"/>
    <x v="4"/>
    <s v="March"/>
    <x v="0"/>
    <x v="0"/>
    <x v="1"/>
    <x v="1"/>
    <n v="392.16"/>
    <n v="5"/>
    <n v="15"/>
    <s v="Yes"/>
    <n v="1"/>
    <x v="1"/>
    <n v="0"/>
  </r>
  <r>
    <s v="BK00037"/>
    <s v="CUST1296"/>
    <x v="66"/>
    <d v="2024-04-06T00:00:00"/>
    <d v="2024-04-11T00:00:00"/>
    <x v="1"/>
    <x v="4"/>
    <s v="March"/>
    <x v="1"/>
    <x v="3"/>
    <x v="0"/>
    <x v="1"/>
    <n v="1266.6500000000001"/>
    <n v="5"/>
    <n v="10"/>
    <s v="Yes"/>
    <n v="1"/>
    <x v="1"/>
    <n v="0"/>
  </r>
  <r>
    <s v="BK00060"/>
    <s v="CUST7224"/>
    <x v="66"/>
    <d v="2024-03-29T00:00:00"/>
    <d v="2024-04-04T00:00:00"/>
    <x v="1"/>
    <x v="4"/>
    <s v="March"/>
    <x v="0"/>
    <x v="0"/>
    <x v="3"/>
    <x v="1"/>
    <n v="826.06"/>
    <n v="6"/>
    <n v="5"/>
    <s v="Yes"/>
    <n v="1"/>
    <x v="1"/>
    <n v="0"/>
  </r>
  <r>
    <s v="BK00063"/>
    <s v="CUST1737"/>
    <x v="66"/>
    <d v="2024-03-21T00:00:00"/>
    <d v="2024-03-31T00:00:00"/>
    <x v="1"/>
    <x v="4"/>
    <s v="March"/>
    <x v="1"/>
    <x v="2"/>
    <x v="2"/>
    <x v="0"/>
    <n v="1027.8"/>
    <n v="10"/>
    <n v="5"/>
    <s v="Yes"/>
    <n v="1"/>
    <x v="1"/>
    <n v="0"/>
  </r>
  <r>
    <s v="BK00175"/>
    <s v="CUST2268"/>
    <x v="66"/>
    <d v="2024-03-25T00:00:00"/>
    <d v="2024-03-28T00:00:00"/>
    <x v="1"/>
    <x v="4"/>
    <s v="March"/>
    <x v="1"/>
    <x v="2"/>
    <x v="2"/>
    <x v="0"/>
    <n v="124.16"/>
    <n v="3"/>
    <n v="5"/>
    <s v="Yes"/>
    <n v="1"/>
    <x v="1"/>
    <n v="0"/>
  </r>
  <r>
    <s v="BK00241"/>
    <s v="CUST6175"/>
    <x v="66"/>
    <d v="2024-03-22T00:00:00"/>
    <d v="2024-04-01T00:00:00"/>
    <x v="1"/>
    <x v="4"/>
    <s v="March"/>
    <x v="0"/>
    <x v="3"/>
    <x v="4"/>
    <x v="1"/>
    <n v="658.63"/>
    <n v="10"/>
    <n v="10"/>
    <s v="Yes"/>
    <n v="1"/>
    <x v="1"/>
    <n v="0"/>
  </r>
  <r>
    <s v="BK00320"/>
    <s v="CUST2725"/>
    <x v="66"/>
    <d v="2024-04-07T00:00:00"/>
    <d v="2024-04-08T00:00:00"/>
    <x v="1"/>
    <x v="4"/>
    <s v="March"/>
    <x v="2"/>
    <x v="2"/>
    <x v="5"/>
    <x v="1"/>
    <n v="1464.33"/>
    <n v="1"/>
    <n v="15"/>
    <s v="Yes"/>
    <n v="1"/>
    <x v="1"/>
    <n v="0"/>
  </r>
  <r>
    <s v="BK00474"/>
    <s v="CUST6571"/>
    <x v="66"/>
    <d v="2024-03-11T00:00:00"/>
    <d v="2024-03-15T00:00:00"/>
    <x v="1"/>
    <x v="4"/>
    <s v="March"/>
    <x v="2"/>
    <x v="1"/>
    <x v="0"/>
    <x v="3"/>
    <n v="1406.38"/>
    <n v="4"/>
    <n v="20"/>
    <s v="Yes"/>
    <n v="1"/>
    <x v="1"/>
    <n v="0"/>
  </r>
  <r>
    <s v="BK00065"/>
    <s v="CUST3473"/>
    <x v="67"/>
    <d v="2024-03-23T00:00:00"/>
    <d v="2024-03-24T00:00:00"/>
    <x v="1"/>
    <x v="5"/>
    <s v="March"/>
    <x v="1"/>
    <x v="0"/>
    <x v="3"/>
    <x v="3"/>
    <n v="1345.61"/>
    <n v="1"/>
    <n v="25"/>
    <s v="Yes"/>
    <n v="1"/>
    <x v="1"/>
    <n v="0"/>
  </r>
  <r>
    <s v="BK00098"/>
    <s v="CUST8477"/>
    <x v="67"/>
    <d v="2024-04-08T00:00:00"/>
    <d v="2024-04-11T00:00:00"/>
    <x v="1"/>
    <x v="5"/>
    <s v="March"/>
    <x v="2"/>
    <x v="2"/>
    <x v="3"/>
    <x v="2"/>
    <n v="215.85"/>
    <n v="3"/>
    <n v="0"/>
    <s v="No"/>
    <n v="0"/>
    <x v="1"/>
    <n v="0"/>
  </r>
  <r>
    <s v="BK00111"/>
    <s v="CUST7888"/>
    <x v="67"/>
    <d v="2024-04-07T00:00:00"/>
    <d v="2024-04-08T00:00:00"/>
    <x v="1"/>
    <x v="5"/>
    <s v="March"/>
    <x v="2"/>
    <x v="2"/>
    <x v="4"/>
    <x v="0"/>
    <n v="1072.76"/>
    <n v="1"/>
    <n v="10"/>
    <s v="Yes"/>
    <n v="1"/>
    <x v="0"/>
    <n v="1"/>
  </r>
  <r>
    <s v="BK00122"/>
    <s v="CUST2234"/>
    <x v="67"/>
    <d v="2024-03-17T00:00:00"/>
    <d v="2024-03-27T00:00:00"/>
    <x v="1"/>
    <x v="5"/>
    <s v="March"/>
    <x v="1"/>
    <x v="2"/>
    <x v="5"/>
    <x v="0"/>
    <n v="1446.02"/>
    <n v="10"/>
    <n v="25"/>
    <s v="Yes"/>
    <n v="1"/>
    <x v="1"/>
    <n v="0"/>
  </r>
  <r>
    <s v="BK00167"/>
    <s v="CUST6718"/>
    <x v="67"/>
    <d v="2024-03-19T00:00:00"/>
    <d v="2024-03-29T00:00:00"/>
    <x v="1"/>
    <x v="5"/>
    <s v="March"/>
    <x v="1"/>
    <x v="2"/>
    <x v="3"/>
    <x v="1"/>
    <n v="961.74"/>
    <n v="10"/>
    <n v="10"/>
    <s v="Yes"/>
    <n v="1"/>
    <x v="0"/>
    <n v="1"/>
  </r>
  <r>
    <s v="BK00178"/>
    <s v="CUST4208"/>
    <x v="67"/>
    <d v="2024-03-25T00:00:00"/>
    <d v="2024-04-04T00:00:00"/>
    <x v="1"/>
    <x v="5"/>
    <s v="March"/>
    <x v="1"/>
    <x v="3"/>
    <x v="2"/>
    <x v="2"/>
    <n v="1250.98"/>
    <n v="10"/>
    <n v="5"/>
    <s v="Yes"/>
    <n v="1"/>
    <x v="1"/>
    <n v="0"/>
  </r>
  <r>
    <s v="BK00370"/>
    <s v="CUST1852"/>
    <x v="67"/>
    <d v="2024-03-20T00:00:00"/>
    <d v="2024-03-24T00:00:00"/>
    <x v="1"/>
    <x v="5"/>
    <s v="March"/>
    <x v="1"/>
    <x v="1"/>
    <x v="0"/>
    <x v="0"/>
    <n v="893.71"/>
    <n v="4"/>
    <n v="5"/>
    <s v="Yes"/>
    <n v="1"/>
    <x v="0"/>
    <n v="1"/>
  </r>
  <r>
    <s v="BK00059"/>
    <s v="CUST6836"/>
    <x v="68"/>
    <d v="2024-03-12T00:00:00"/>
    <d v="2024-03-17T00:00:00"/>
    <x v="2"/>
    <x v="6"/>
    <s v="March"/>
    <x v="0"/>
    <x v="2"/>
    <x v="5"/>
    <x v="3"/>
    <n v="301.74"/>
    <n v="5"/>
    <n v="20"/>
    <s v="Yes"/>
    <n v="1"/>
    <x v="1"/>
    <n v="0"/>
  </r>
  <r>
    <s v="BK00124"/>
    <s v="CUST7369"/>
    <x v="68"/>
    <d v="2024-04-01T00:00:00"/>
    <d v="2024-04-07T00:00:00"/>
    <x v="2"/>
    <x v="6"/>
    <s v="March"/>
    <x v="1"/>
    <x v="2"/>
    <x v="5"/>
    <x v="0"/>
    <n v="418.43"/>
    <n v="6"/>
    <n v="10"/>
    <s v="Yes"/>
    <n v="1"/>
    <x v="0"/>
    <n v="1"/>
  </r>
  <r>
    <s v="BK00198"/>
    <s v="CUST3014"/>
    <x v="68"/>
    <d v="2024-03-14T00:00:00"/>
    <d v="2024-03-20T00:00:00"/>
    <x v="2"/>
    <x v="6"/>
    <s v="March"/>
    <x v="0"/>
    <x v="0"/>
    <x v="5"/>
    <x v="0"/>
    <n v="836.99"/>
    <n v="6"/>
    <n v="15"/>
    <s v="Yes"/>
    <n v="1"/>
    <x v="1"/>
    <n v="0"/>
  </r>
  <r>
    <s v="BK00110"/>
    <s v="CUST2226"/>
    <x v="69"/>
    <d v="2024-03-23T00:00:00"/>
    <d v="2024-03-25T00:00:00"/>
    <x v="2"/>
    <x v="0"/>
    <s v="March"/>
    <x v="1"/>
    <x v="0"/>
    <x v="3"/>
    <x v="2"/>
    <n v="1230.72"/>
    <n v="2"/>
    <n v="0"/>
    <s v="No"/>
    <n v="0"/>
    <x v="0"/>
    <n v="1"/>
  </r>
  <r>
    <s v="BK00118"/>
    <s v="CUST6672"/>
    <x v="69"/>
    <d v="2024-03-24T00:00:00"/>
    <d v="2024-04-01T00:00:00"/>
    <x v="2"/>
    <x v="0"/>
    <s v="March"/>
    <x v="2"/>
    <x v="2"/>
    <x v="3"/>
    <x v="1"/>
    <n v="227.88"/>
    <n v="8"/>
    <n v="0"/>
    <s v="No"/>
    <n v="0"/>
    <x v="0"/>
    <n v="1"/>
  </r>
  <r>
    <s v="BK00177"/>
    <s v="CUST9936"/>
    <x v="69"/>
    <d v="2024-04-02T00:00:00"/>
    <d v="2024-04-09T00:00:00"/>
    <x v="2"/>
    <x v="0"/>
    <s v="March"/>
    <x v="0"/>
    <x v="1"/>
    <x v="4"/>
    <x v="3"/>
    <n v="164.44"/>
    <n v="7"/>
    <n v="25"/>
    <s v="Yes"/>
    <n v="1"/>
    <x v="1"/>
    <n v="0"/>
  </r>
  <r>
    <s v="BK00181"/>
    <s v="CUST7465"/>
    <x v="69"/>
    <d v="2024-03-13T00:00:00"/>
    <d v="2024-03-23T00:00:00"/>
    <x v="2"/>
    <x v="0"/>
    <s v="March"/>
    <x v="0"/>
    <x v="1"/>
    <x v="2"/>
    <x v="2"/>
    <n v="352.45"/>
    <n v="10"/>
    <n v="15"/>
    <s v="Yes"/>
    <n v="1"/>
    <x v="1"/>
    <n v="0"/>
  </r>
  <r>
    <s v="BK00381"/>
    <s v="CUST8309"/>
    <x v="69"/>
    <d v="2024-04-02T00:00:00"/>
    <d v="2024-04-05T00:00:00"/>
    <x v="2"/>
    <x v="0"/>
    <s v="March"/>
    <x v="1"/>
    <x v="0"/>
    <x v="0"/>
    <x v="0"/>
    <n v="1129.99"/>
    <n v="3"/>
    <n v="10"/>
    <s v="Yes"/>
    <n v="1"/>
    <x v="0"/>
    <n v="1"/>
  </r>
  <r>
    <s v="BK00497"/>
    <s v="CUST3145"/>
    <x v="69"/>
    <d v="2024-03-23T00:00:00"/>
    <d v="2024-03-26T00:00:00"/>
    <x v="2"/>
    <x v="0"/>
    <s v="March"/>
    <x v="1"/>
    <x v="2"/>
    <x v="2"/>
    <x v="0"/>
    <n v="202.87"/>
    <n v="3"/>
    <n v="25"/>
    <s v="Yes"/>
    <n v="1"/>
    <x v="1"/>
    <n v="0"/>
  </r>
  <r>
    <s v="BK00053"/>
    <s v="CUST8973"/>
    <x v="70"/>
    <d v="2024-03-29T00:00:00"/>
    <d v="2024-04-04T00:00:00"/>
    <x v="2"/>
    <x v="1"/>
    <s v="March"/>
    <x v="2"/>
    <x v="3"/>
    <x v="1"/>
    <x v="3"/>
    <n v="599.59"/>
    <n v="6"/>
    <n v="25"/>
    <s v="Yes"/>
    <n v="1"/>
    <x v="1"/>
    <n v="0"/>
  </r>
  <r>
    <s v="BK00090"/>
    <s v="CUST4590"/>
    <x v="70"/>
    <d v="2024-03-22T00:00:00"/>
    <d v="2024-03-28T00:00:00"/>
    <x v="2"/>
    <x v="1"/>
    <s v="March"/>
    <x v="1"/>
    <x v="0"/>
    <x v="3"/>
    <x v="0"/>
    <n v="1301.18"/>
    <n v="6"/>
    <n v="15"/>
    <s v="Yes"/>
    <n v="1"/>
    <x v="1"/>
    <n v="0"/>
  </r>
  <r>
    <s v="BK00171"/>
    <s v="CUST4220"/>
    <x v="70"/>
    <d v="2024-03-19T00:00:00"/>
    <d v="2024-03-26T00:00:00"/>
    <x v="2"/>
    <x v="1"/>
    <s v="March"/>
    <x v="1"/>
    <x v="2"/>
    <x v="2"/>
    <x v="2"/>
    <n v="1236.6099999999999"/>
    <n v="7"/>
    <n v="20"/>
    <s v="Yes"/>
    <n v="1"/>
    <x v="1"/>
    <n v="0"/>
  </r>
  <r>
    <s v="BK00176"/>
    <s v="CUST4287"/>
    <x v="70"/>
    <d v="2024-04-10T00:00:00"/>
    <d v="2024-04-14T00:00:00"/>
    <x v="2"/>
    <x v="1"/>
    <s v="March"/>
    <x v="1"/>
    <x v="0"/>
    <x v="5"/>
    <x v="2"/>
    <n v="952.16"/>
    <n v="4"/>
    <n v="15"/>
    <s v="Yes"/>
    <n v="1"/>
    <x v="1"/>
    <n v="0"/>
  </r>
  <r>
    <s v="BK00224"/>
    <s v="CUST2213"/>
    <x v="70"/>
    <d v="2024-04-03T00:00:00"/>
    <d v="2024-04-09T00:00:00"/>
    <x v="2"/>
    <x v="1"/>
    <s v="March"/>
    <x v="0"/>
    <x v="3"/>
    <x v="3"/>
    <x v="2"/>
    <n v="660.24"/>
    <n v="6"/>
    <n v="20"/>
    <s v="Yes"/>
    <n v="1"/>
    <x v="0"/>
    <n v="1"/>
  </r>
  <r>
    <s v="BK00383"/>
    <s v="CUST4874"/>
    <x v="70"/>
    <d v="2024-04-10T00:00:00"/>
    <d v="2024-04-18T00:00:00"/>
    <x v="2"/>
    <x v="1"/>
    <s v="March"/>
    <x v="2"/>
    <x v="0"/>
    <x v="1"/>
    <x v="2"/>
    <n v="1487.41"/>
    <n v="8"/>
    <n v="25"/>
    <s v="Yes"/>
    <n v="1"/>
    <x v="0"/>
    <n v="1"/>
  </r>
  <r>
    <s v="BK00386"/>
    <s v="CUST5701"/>
    <x v="70"/>
    <d v="2024-03-14T00:00:00"/>
    <d v="2024-03-21T00:00:00"/>
    <x v="2"/>
    <x v="1"/>
    <s v="March"/>
    <x v="0"/>
    <x v="0"/>
    <x v="2"/>
    <x v="1"/>
    <n v="604.79999999999995"/>
    <n v="7"/>
    <n v="20"/>
    <s v="Yes"/>
    <n v="1"/>
    <x v="0"/>
    <n v="1"/>
  </r>
  <r>
    <s v="BK00433"/>
    <s v="CUST3989"/>
    <x v="70"/>
    <d v="2024-04-08T00:00:00"/>
    <d v="2024-04-09T00:00:00"/>
    <x v="2"/>
    <x v="1"/>
    <s v="March"/>
    <x v="2"/>
    <x v="2"/>
    <x v="1"/>
    <x v="3"/>
    <n v="656.87"/>
    <n v="1"/>
    <n v="10"/>
    <s v="Yes"/>
    <n v="1"/>
    <x v="0"/>
    <n v="1"/>
  </r>
  <r>
    <s v="BK00023"/>
    <s v="CUST3704"/>
    <x v="71"/>
    <d v="2024-04-05T00:00:00"/>
    <d v="2024-04-14T00:00:00"/>
    <x v="2"/>
    <x v="2"/>
    <s v="March"/>
    <x v="0"/>
    <x v="1"/>
    <x v="4"/>
    <x v="3"/>
    <n v="1264.22"/>
    <n v="9"/>
    <n v="0"/>
    <s v="No"/>
    <n v="0"/>
    <x v="1"/>
    <n v="0"/>
  </r>
  <r>
    <s v="BK00086"/>
    <s v="CUST2210"/>
    <x v="71"/>
    <d v="2024-03-14T00:00:00"/>
    <d v="2024-03-21T00:00:00"/>
    <x v="2"/>
    <x v="2"/>
    <s v="March"/>
    <x v="2"/>
    <x v="2"/>
    <x v="5"/>
    <x v="1"/>
    <n v="514.91999999999996"/>
    <n v="7"/>
    <n v="15"/>
    <s v="Yes"/>
    <n v="1"/>
    <x v="0"/>
    <n v="1"/>
  </r>
  <r>
    <s v="BK00134"/>
    <s v="CUST4651"/>
    <x v="71"/>
    <d v="2024-03-14T00:00:00"/>
    <d v="2024-03-21T00:00:00"/>
    <x v="2"/>
    <x v="2"/>
    <s v="March"/>
    <x v="0"/>
    <x v="2"/>
    <x v="5"/>
    <x v="3"/>
    <n v="1091"/>
    <n v="7"/>
    <n v="20"/>
    <s v="Yes"/>
    <n v="1"/>
    <x v="0"/>
    <n v="1"/>
  </r>
  <r>
    <s v="BK00382"/>
    <s v="CUST6603"/>
    <x v="71"/>
    <d v="2024-04-08T00:00:00"/>
    <d v="2024-04-15T00:00:00"/>
    <x v="2"/>
    <x v="2"/>
    <s v="March"/>
    <x v="0"/>
    <x v="0"/>
    <x v="1"/>
    <x v="1"/>
    <n v="696.73"/>
    <n v="7"/>
    <n v="5"/>
    <s v="Yes"/>
    <n v="1"/>
    <x v="0"/>
    <n v="1"/>
  </r>
  <r>
    <s v="BK00387"/>
    <s v="CUST3731"/>
    <x v="71"/>
    <d v="2024-03-21T00:00:00"/>
    <d v="2024-03-28T00:00:00"/>
    <x v="2"/>
    <x v="2"/>
    <s v="March"/>
    <x v="2"/>
    <x v="1"/>
    <x v="1"/>
    <x v="3"/>
    <n v="283.81"/>
    <n v="7"/>
    <n v="25"/>
    <s v="Yes"/>
    <n v="1"/>
    <x v="0"/>
    <n v="1"/>
  </r>
  <r>
    <s v="BK00408"/>
    <s v="CUST6186"/>
    <x v="71"/>
    <d v="2024-03-25T00:00:00"/>
    <d v="2024-03-31T00:00:00"/>
    <x v="2"/>
    <x v="2"/>
    <s v="March"/>
    <x v="1"/>
    <x v="1"/>
    <x v="5"/>
    <x v="1"/>
    <n v="416.92"/>
    <n v="6"/>
    <n v="10"/>
    <s v="Yes"/>
    <n v="1"/>
    <x v="0"/>
    <n v="1"/>
  </r>
  <r>
    <s v="BK00450"/>
    <s v="CUST1444"/>
    <x v="71"/>
    <d v="2024-04-03T00:00:00"/>
    <d v="2024-04-09T00:00:00"/>
    <x v="2"/>
    <x v="2"/>
    <s v="March"/>
    <x v="2"/>
    <x v="3"/>
    <x v="0"/>
    <x v="1"/>
    <n v="1235.3599999999999"/>
    <n v="6"/>
    <n v="15"/>
    <s v="Yes"/>
    <n v="1"/>
    <x v="0"/>
    <n v="1"/>
  </r>
  <r>
    <s v="BK00254"/>
    <s v="CUST9168"/>
    <x v="72"/>
    <d v="2024-04-06T00:00:00"/>
    <d v="2024-04-16T00:00:00"/>
    <x v="2"/>
    <x v="3"/>
    <s v="March"/>
    <x v="1"/>
    <x v="2"/>
    <x v="3"/>
    <x v="1"/>
    <n v="1396.01"/>
    <n v="10"/>
    <n v="10"/>
    <s v="Yes"/>
    <n v="1"/>
    <x v="1"/>
    <n v="0"/>
  </r>
  <r>
    <s v="BK00268"/>
    <s v="CUST5848"/>
    <x v="72"/>
    <d v="2024-04-03T00:00:00"/>
    <d v="2024-04-08T00:00:00"/>
    <x v="2"/>
    <x v="3"/>
    <s v="March"/>
    <x v="0"/>
    <x v="3"/>
    <x v="3"/>
    <x v="1"/>
    <n v="1402.14"/>
    <n v="5"/>
    <n v="25"/>
    <s v="Yes"/>
    <n v="1"/>
    <x v="1"/>
    <n v="0"/>
  </r>
  <r>
    <s v="BK00447"/>
    <s v="CUST2088"/>
    <x v="72"/>
    <d v="2024-03-16T00:00:00"/>
    <d v="2024-03-22T00:00:00"/>
    <x v="2"/>
    <x v="3"/>
    <s v="March"/>
    <x v="0"/>
    <x v="2"/>
    <x v="3"/>
    <x v="2"/>
    <n v="723.36"/>
    <n v="6"/>
    <n v="25"/>
    <s v="Yes"/>
    <n v="1"/>
    <x v="1"/>
    <n v="0"/>
  </r>
  <r>
    <s v="BK00458"/>
    <s v="CUST7063"/>
    <x v="72"/>
    <d v="2024-04-07T00:00:00"/>
    <d v="2024-04-09T00:00:00"/>
    <x v="2"/>
    <x v="3"/>
    <s v="March"/>
    <x v="0"/>
    <x v="3"/>
    <x v="2"/>
    <x v="1"/>
    <n v="573.12"/>
    <n v="2"/>
    <n v="10"/>
    <s v="Yes"/>
    <n v="1"/>
    <x v="0"/>
    <n v="1"/>
  </r>
  <r>
    <s v="BK00024"/>
    <s v="CUST9160"/>
    <x v="73"/>
    <d v="2024-03-29T00:00:00"/>
    <d v="2024-04-07T00:00:00"/>
    <x v="2"/>
    <x v="4"/>
    <s v="March"/>
    <x v="2"/>
    <x v="3"/>
    <x v="1"/>
    <x v="2"/>
    <n v="850.96"/>
    <n v="9"/>
    <n v="25"/>
    <s v="Yes"/>
    <n v="1"/>
    <x v="1"/>
    <n v="0"/>
  </r>
  <r>
    <s v="BK00040"/>
    <s v="CUST3261"/>
    <x v="73"/>
    <d v="2024-03-18T00:00:00"/>
    <d v="2024-03-27T00:00:00"/>
    <x v="2"/>
    <x v="4"/>
    <s v="March"/>
    <x v="2"/>
    <x v="0"/>
    <x v="5"/>
    <x v="3"/>
    <n v="121.61"/>
    <n v="9"/>
    <n v="10"/>
    <s v="Yes"/>
    <n v="1"/>
    <x v="1"/>
    <n v="0"/>
  </r>
  <r>
    <s v="BK00201"/>
    <s v="CUST1773"/>
    <x v="73"/>
    <d v="2024-04-01T00:00:00"/>
    <d v="2024-04-10T00:00:00"/>
    <x v="2"/>
    <x v="4"/>
    <s v="March"/>
    <x v="0"/>
    <x v="2"/>
    <x v="0"/>
    <x v="3"/>
    <n v="781.58"/>
    <n v="9"/>
    <n v="0"/>
    <s v="No"/>
    <n v="0"/>
    <x v="0"/>
    <n v="1"/>
  </r>
  <r>
    <s v="BK00432"/>
    <s v="CUST1403"/>
    <x v="73"/>
    <d v="2024-04-03T00:00:00"/>
    <d v="2024-04-11T00:00:00"/>
    <x v="2"/>
    <x v="4"/>
    <s v="March"/>
    <x v="1"/>
    <x v="3"/>
    <x v="2"/>
    <x v="2"/>
    <n v="854.05"/>
    <n v="8"/>
    <n v="0"/>
    <s v="No"/>
    <n v="0"/>
    <x v="1"/>
    <n v="0"/>
  </r>
  <r>
    <s v="BK00036"/>
    <s v="CUST6880"/>
    <x v="74"/>
    <d v="2024-04-05T00:00:00"/>
    <d v="2024-04-08T00:00:00"/>
    <x v="2"/>
    <x v="5"/>
    <s v="March"/>
    <x v="1"/>
    <x v="1"/>
    <x v="2"/>
    <x v="3"/>
    <n v="1191.07"/>
    <n v="3"/>
    <n v="20"/>
    <s v="Yes"/>
    <n v="1"/>
    <x v="1"/>
    <n v="0"/>
  </r>
  <r>
    <s v="BK00078"/>
    <s v="CUST3119"/>
    <x v="74"/>
    <d v="2024-04-11T00:00:00"/>
    <d v="2024-04-21T00:00:00"/>
    <x v="2"/>
    <x v="5"/>
    <s v="March"/>
    <x v="2"/>
    <x v="1"/>
    <x v="0"/>
    <x v="2"/>
    <n v="944.24"/>
    <n v="10"/>
    <n v="5"/>
    <s v="Yes"/>
    <n v="1"/>
    <x v="1"/>
    <n v="0"/>
  </r>
  <r>
    <s v="BK00170"/>
    <s v="CUST6251"/>
    <x v="74"/>
    <d v="2024-03-27T00:00:00"/>
    <d v="2024-03-31T00:00:00"/>
    <x v="2"/>
    <x v="5"/>
    <s v="March"/>
    <x v="2"/>
    <x v="1"/>
    <x v="3"/>
    <x v="2"/>
    <n v="1284.3699999999999"/>
    <n v="4"/>
    <n v="25"/>
    <s v="Yes"/>
    <n v="1"/>
    <x v="1"/>
    <n v="0"/>
  </r>
  <r>
    <s v="BK00245"/>
    <s v="CUST7783"/>
    <x v="74"/>
    <d v="2024-03-28T00:00:00"/>
    <d v="2024-03-29T00:00:00"/>
    <x v="2"/>
    <x v="5"/>
    <s v="March"/>
    <x v="0"/>
    <x v="0"/>
    <x v="4"/>
    <x v="2"/>
    <n v="965.02"/>
    <n v="1"/>
    <n v="10"/>
    <s v="Yes"/>
    <n v="1"/>
    <x v="0"/>
    <n v="1"/>
  </r>
  <r>
    <s v="BK00377"/>
    <s v="CUST5926"/>
    <x v="74"/>
    <d v="2024-04-13T00:00:00"/>
    <d v="2024-04-21T00:00:00"/>
    <x v="2"/>
    <x v="5"/>
    <s v="March"/>
    <x v="2"/>
    <x v="0"/>
    <x v="1"/>
    <x v="1"/>
    <n v="350.86"/>
    <n v="8"/>
    <n v="25"/>
    <s v="Yes"/>
    <n v="1"/>
    <x v="0"/>
    <n v="1"/>
  </r>
  <r>
    <s v="BK00116"/>
    <s v="CUST6777"/>
    <x v="75"/>
    <d v="2024-03-30T00:00:00"/>
    <d v="2024-04-08T00:00:00"/>
    <x v="3"/>
    <x v="6"/>
    <s v="March"/>
    <x v="1"/>
    <x v="2"/>
    <x v="0"/>
    <x v="3"/>
    <n v="1089.07"/>
    <n v="9"/>
    <n v="0"/>
    <s v="No"/>
    <n v="0"/>
    <x v="1"/>
    <n v="0"/>
  </r>
  <r>
    <s v="BK00130"/>
    <s v="CUST7199"/>
    <x v="75"/>
    <d v="2024-04-13T00:00:00"/>
    <d v="2024-04-16T00:00:00"/>
    <x v="3"/>
    <x v="6"/>
    <s v="March"/>
    <x v="1"/>
    <x v="1"/>
    <x v="3"/>
    <x v="3"/>
    <n v="372.43"/>
    <n v="3"/>
    <n v="15"/>
    <s v="Yes"/>
    <n v="1"/>
    <x v="1"/>
    <n v="0"/>
  </r>
  <r>
    <s v="BK00277"/>
    <s v="CUST9308"/>
    <x v="75"/>
    <d v="2024-04-03T00:00:00"/>
    <d v="2024-04-10T00:00:00"/>
    <x v="3"/>
    <x v="6"/>
    <s v="March"/>
    <x v="2"/>
    <x v="1"/>
    <x v="1"/>
    <x v="0"/>
    <n v="1016.31"/>
    <n v="7"/>
    <n v="10"/>
    <s v="Yes"/>
    <n v="1"/>
    <x v="1"/>
    <n v="0"/>
  </r>
  <r>
    <s v="BK00305"/>
    <s v="CUST6499"/>
    <x v="75"/>
    <d v="2024-03-18T00:00:00"/>
    <d v="2024-03-25T00:00:00"/>
    <x v="3"/>
    <x v="6"/>
    <s v="March"/>
    <x v="1"/>
    <x v="3"/>
    <x v="3"/>
    <x v="2"/>
    <n v="994.21"/>
    <n v="7"/>
    <n v="15"/>
    <s v="Yes"/>
    <n v="1"/>
    <x v="1"/>
    <n v="0"/>
  </r>
  <r>
    <s v="BK00411"/>
    <s v="CUST8627"/>
    <x v="75"/>
    <d v="2024-03-18T00:00:00"/>
    <d v="2024-03-21T00:00:00"/>
    <x v="3"/>
    <x v="6"/>
    <s v="March"/>
    <x v="1"/>
    <x v="0"/>
    <x v="5"/>
    <x v="1"/>
    <n v="765.47"/>
    <n v="3"/>
    <n v="20"/>
    <s v="Yes"/>
    <n v="1"/>
    <x v="0"/>
    <n v="1"/>
  </r>
  <r>
    <s v="BK00434"/>
    <s v="CUST2774"/>
    <x v="75"/>
    <d v="2024-03-18T00:00:00"/>
    <d v="2024-03-24T00:00:00"/>
    <x v="3"/>
    <x v="6"/>
    <s v="March"/>
    <x v="2"/>
    <x v="1"/>
    <x v="4"/>
    <x v="1"/>
    <n v="433.43"/>
    <n v="6"/>
    <n v="25"/>
    <s v="Yes"/>
    <n v="1"/>
    <x v="1"/>
    <n v="0"/>
  </r>
  <r>
    <s v="BK00135"/>
    <s v="CUST9192"/>
    <x v="76"/>
    <d v="2024-04-09T00:00:00"/>
    <d v="2024-04-19T00:00:00"/>
    <x v="3"/>
    <x v="0"/>
    <s v="March"/>
    <x v="1"/>
    <x v="1"/>
    <x v="3"/>
    <x v="3"/>
    <n v="1497.98"/>
    <n v="10"/>
    <n v="0"/>
    <s v="No"/>
    <n v="0"/>
    <x v="0"/>
    <n v="1"/>
  </r>
  <r>
    <s v="BK00288"/>
    <s v="CUST7324"/>
    <x v="76"/>
    <d v="2024-03-22T00:00:00"/>
    <d v="2024-03-28T00:00:00"/>
    <x v="3"/>
    <x v="0"/>
    <s v="March"/>
    <x v="2"/>
    <x v="1"/>
    <x v="1"/>
    <x v="0"/>
    <n v="663.51"/>
    <n v="6"/>
    <n v="20"/>
    <s v="Yes"/>
    <n v="1"/>
    <x v="0"/>
    <n v="1"/>
  </r>
  <r>
    <s v="BK00307"/>
    <s v="CUST9105"/>
    <x v="76"/>
    <d v="2024-03-21T00:00:00"/>
    <d v="2024-03-29T00:00:00"/>
    <x v="3"/>
    <x v="0"/>
    <s v="March"/>
    <x v="2"/>
    <x v="1"/>
    <x v="2"/>
    <x v="3"/>
    <n v="1359.94"/>
    <n v="8"/>
    <n v="5"/>
    <s v="Yes"/>
    <n v="1"/>
    <x v="0"/>
    <n v="1"/>
  </r>
  <r>
    <s v="BK00346"/>
    <s v="CUST1950"/>
    <x v="76"/>
    <d v="2024-04-05T00:00:00"/>
    <d v="2024-04-14T00:00:00"/>
    <x v="3"/>
    <x v="0"/>
    <s v="March"/>
    <x v="2"/>
    <x v="2"/>
    <x v="4"/>
    <x v="3"/>
    <n v="474.08"/>
    <n v="9"/>
    <n v="0"/>
    <s v="No"/>
    <n v="0"/>
    <x v="0"/>
    <n v="1"/>
  </r>
  <r>
    <s v="BK00421"/>
    <s v="CUST3188"/>
    <x v="76"/>
    <d v="2024-03-27T00:00:00"/>
    <d v="2024-04-04T00:00:00"/>
    <x v="3"/>
    <x v="0"/>
    <s v="March"/>
    <x v="2"/>
    <x v="1"/>
    <x v="3"/>
    <x v="2"/>
    <n v="529.99"/>
    <n v="8"/>
    <n v="5"/>
    <s v="Yes"/>
    <n v="1"/>
    <x v="0"/>
    <n v="1"/>
  </r>
  <r>
    <s v="BK00452"/>
    <s v="CUST7698"/>
    <x v="76"/>
    <d v="2024-04-10T00:00:00"/>
    <d v="2024-04-14T00:00:00"/>
    <x v="3"/>
    <x v="0"/>
    <s v="March"/>
    <x v="1"/>
    <x v="2"/>
    <x v="1"/>
    <x v="0"/>
    <n v="1156.96"/>
    <n v="4"/>
    <n v="5"/>
    <s v="Yes"/>
    <n v="1"/>
    <x v="1"/>
    <n v="0"/>
  </r>
  <r>
    <s v="BK00005"/>
    <s v="CUST8257"/>
    <x v="77"/>
    <d v="2024-03-26T00:00:00"/>
    <d v="2024-03-31T00:00:00"/>
    <x v="3"/>
    <x v="1"/>
    <s v="March"/>
    <x v="2"/>
    <x v="1"/>
    <x v="3"/>
    <x v="0"/>
    <n v="155.36000000000001"/>
    <n v="5"/>
    <n v="20"/>
    <s v="Yes"/>
    <n v="1"/>
    <x v="1"/>
    <n v="0"/>
  </r>
  <r>
    <s v="BK00289"/>
    <s v="CUST5975"/>
    <x v="77"/>
    <d v="2024-03-31T00:00:00"/>
    <d v="2024-04-09T00:00:00"/>
    <x v="3"/>
    <x v="1"/>
    <s v="March"/>
    <x v="0"/>
    <x v="2"/>
    <x v="0"/>
    <x v="3"/>
    <n v="362.53"/>
    <n v="9"/>
    <n v="20"/>
    <s v="Yes"/>
    <n v="1"/>
    <x v="0"/>
    <n v="1"/>
  </r>
  <r>
    <s v="BK00394"/>
    <s v="CUST9718"/>
    <x v="77"/>
    <d v="2024-04-03T00:00:00"/>
    <d v="2024-04-12T00:00:00"/>
    <x v="3"/>
    <x v="1"/>
    <s v="March"/>
    <x v="1"/>
    <x v="0"/>
    <x v="2"/>
    <x v="0"/>
    <n v="719.16"/>
    <n v="9"/>
    <n v="15"/>
    <s v="Yes"/>
    <n v="1"/>
    <x v="0"/>
    <n v="1"/>
  </r>
  <r>
    <s v="BK00465"/>
    <s v="CUST8976"/>
    <x v="77"/>
    <d v="2024-04-03T00:00:00"/>
    <d v="2024-04-11T00:00:00"/>
    <x v="3"/>
    <x v="1"/>
    <s v="March"/>
    <x v="2"/>
    <x v="1"/>
    <x v="0"/>
    <x v="1"/>
    <n v="621.34"/>
    <n v="8"/>
    <n v="15"/>
    <s v="Yes"/>
    <n v="1"/>
    <x v="1"/>
    <n v="0"/>
  </r>
  <r>
    <s v="BK00479"/>
    <s v="CUST9579"/>
    <x v="77"/>
    <d v="2024-03-22T00:00:00"/>
    <d v="2024-03-27T00:00:00"/>
    <x v="3"/>
    <x v="1"/>
    <s v="March"/>
    <x v="1"/>
    <x v="1"/>
    <x v="1"/>
    <x v="1"/>
    <n v="585.84"/>
    <n v="5"/>
    <n v="10"/>
    <s v="Yes"/>
    <n v="1"/>
    <x v="1"/>
    <n v="0"/>
  </r>
  <r>
    <s v="BK00489"/>
    <s v="CUST2542"/>
    <x v="77"/>
    <d v="2024-04-12T00:00:00"/>
    <d v="2024-04-21T00:00:00"/>
    <x v="3"/>
    <x v="1"/>
    <s v="March"/>
    <x v="1"/>
    <x v="0"/>
    <x v="3"/>
    <x v="3"/>
    <n v="331.14"/>
    <n v="9"/>
    <n v="5"/>
    <s v="Yes"/>
    <n v="1"/>
    <x v="0"/>
    <n v="1"/>
  </r>
  <r>
    <s v="BK00006"/>
    <s v="CUST6040"/>
    <x v="78"/>
    <d v="2024-03-26T00:00:00"/>
    <d v="2024-03-30T00:00:00"/>
    <x v="3"/>
    <x v="2"/>
    <s v="March"/>
    <x v="0"/>
    <x v="1"/>
    <x v="4"/>
    <x v="3"/>
    <n v="1000.69"/>
    <n v="4"/>
    <n v="20"/>
    <s v="Yes"/>
    <n v="1"/>
    <x v="1"/>
    <n v="0"/>
  </r>
  <r>
    <s v="BK00112"/>
    <s v="CUST9676"/>
    <x v="78"/>
    <d v="2024-03-26T00:00:00"/>
    <d v="2024-03-27T00:00:00"/>
    <x v="3"/>
    <x v="2"/>
    <s v="March"/>
    <x v="2"/>
    <x v="1"/>
    <x v="4"/>
    <x v="1"/>
    <n v="1370.83"/>
    <n v="1"/>
    <n v="25"/>
    <s v="Yes"/>
    <n v="1"/>
    <x v="1"/>
    <n v="0"/>
  </r>
  <r>
    <s v="BK00148"/>
    <s v="CUST9900"/>
    <x v="78"/>
    <d v="2024-04-19T00:00:00"/>
    <d v="2024-04-25T00:00:00"/>
    <x v="3"/>
    <x v="2"/>
    <s v="March"/>
    <x v="0"/>
    <x v="3"/>
    <x v="4"/>
    <x v="2"/>
    <n v="796.63"/>
    <n v="6"/>
    <n v="0"/>
    <s v="No"/>
    <n v="0"/>
    <x v="0"/>
    <n v="1"/>
  </r>
  <r>
    <s v="BK00179"/>
    <s v="CUST4140"/>
    <x v="78"/>
    <d v="2024-04-10T00:00:00"/>
    <d v="2024-04-12T00:00:00"/>
    <x v="3"/>
    <x v="2"/>
    <s v="March"/>
    <x v="2"/>
    <x v="0"/>
    <x v="0"/>
    <x v="1"/>
    <n v="1143.9100000000001"/>
    <n v="2"/>
    <n v="0"/>
    <s v="No"/>
    <n v="0"/>
    <x v="1"/>
    <n v="0"/>
  </r>
  <r>
    <s v="BK00196"/>
    <s v="CUST4068"/>
    <x v="78"/>
    <d v="2024-04-09T00:00:00"/>
    <d v="2024-04-18T00:00:00"/>
    <x v="3"/>
    <x v="2"/>
    <s v="March"/>
    <x v="1"/>
    <x v="2"/>
    <x v="5"/>
    <x v="3"/>
    <n v="410.71"/>
    <n v="9"/>
    <n v="20"/>
    <s v="Yes"/>
    <n v="1"/>
    <x v="0"/>
    <n v="1"/>
  </r>
  <r>
    <s v="BK00273"/>
    <s v="CUST7963"/>
    <x v="78"/>
    <d v="2024-04-02T00:00:00"/>
    <d v="2024-04-10T00:00:00"/>
    <x v="3"/>
    <x v="2"/>
    <s v="March"/>
    <x v="1"/>
    <x v="3"/>
    <x v="5"/>
    <x v="2"/>
    <n v="1001.19"/>
    <n v="8"/>
    <n v="15"/>
    <s v="Yes"/>
    <n v="1"/>
    <x v="0"/>
    <n v="1"/>
  </r>
  <r>
    <s v="BK00321"/>
    <s v="CUST9919"/>
    <x v="78"/>
    <d v="2024-03-27T00:00:00"/>
    <d v="2024-03-31T00:00:00"/>
    <x v="3"/>
    <x v="2"/>
    <s v="March"/>
    <x v="2"/>
    <x v="3"/>
    <x v="3"/>
    <x v="2"/>
    <n v="1321.71"/>
    <n v="4"/>
    <n v="15"/>
    <s v="Yes"/>
    <n v="1"/>
    <x v="0"/>
    <n v="1"/>
  </r>
  <r>
    <s v="BK00354"/>
    <s v="CUST2632"/>
    <x v="78"/>
    <d v="2024-04-16T00:00:00"/>
    <d v="2024-04-21T00:00:00"/>
    <x v="3"/>
    <x v="2"/>
    <s v="March"/>
    <x v="2"/>
    <x v="1"/>
    <x v="3"/>
    <x v="2"/>
    <n v="845"/>
    <n v="5"/>
    <n v="5"/>
    <s v="Yes"/>
    <n v="1"/>
    <x v="0"/>
    <n v="1"/>
  </r>
  <r>
    <s v="BK00362"/>
    <s v="CUST1605"/>
    <x v="78"/>
    <d v="2024-04-07T00:00:00"/>
    <d v="2024-04-16T00:00:00"/>
    <x v="3"/>
    <x v="2"/>
    <s v="March"/>
    <x v="0"/>
    <x v="1"/>
    <x v="5"/>
    <x v="3"/>
    <n v="850.32"/>
    <n v="9"/>
    <n v="0"/>
    <s v="No"/>
    <n v="0"/>
    <x v="0"/>
    <n v="1"/>
  </r>
  <r>
    <s v="BK00436"/>
    <s v="CUST1873"/>
    <x v="78"/>
    <d v="2024-04-05T00:00:00"/>
    <d v="2024-04-15T00:00:00"/>
    <x v="3"/>
    <x v="2"/>
    <s v="March"/>
    <x v="2"/>
    <x v="3"/>
    <x v="1"/>
    <x v="3"/>
    <n v="1081.78"/>
    <n v="10"/>
    <n v="0"/>
    <s v="No"/>
    <n v="0"/>
    <x v="0"/>
    <n v="1"/>
  </r>
  <r>
    <s v="BK00446"/>
    <s v="CUST6399"/>
    <x v="78"/>
    <d v="2024-03-21T00:00:00"/>
    <d v="2024-03-29T00:00:00"/>
    <x v="3"/>
    <x v="2"/>
    <s v="March"/>
    <x v="2"/>
    <x v="0"/>
    <x v="4"/>
    <x v="2"/>
    <n v="818.79"/>
    <n v="8"/>
    <n v="25"/>
    <s v="Yes"/>
    <n v="1"/>
    <x v="1"/>
    <n v="0"/>
  </r>
  <r>
    <s v="BK00019"/>
    <s v="CUST3551"/>
    <x v="79"/>
    <d v="2024-04-03T00:00:00"/>
    <d v="2024-04-09T00:00:00"/>
    <x v="3"/>
    <x v="3"/>
    <s v="March"/>
    <x v="1"/>
    <x v="0"/>
    <x v="4"/>
    <x v="3"/>
    <n v="617.07000000000005"/>
    <n v="6"/>
    <n v="5"/>
    <s v="Yes"/>
    <n v="1"/>
    <x v="0"/>
    <n v="1"/>
  </r>
  <r>
    <s v="BK00186"/>
    <s v="CUST9178"/>
    <x v="79"/>
    <d v="2024-03-22T00:00:00"/>
    <d v="2024-03-24T00:00:00"/>
    <x v="3"/>
    <x v="3"/>
    <s v="March"/>
    <x v="0"/>
    <x v="2"/>
    <x v="5"/>
    <x v="0"/>
    <n v="1007.37"/>
    <n v="2"/>
    <n v="25"/>
    <s v="Yes"/>
    <n v="1"/>
    <x v="0"/>
    <n v="1"/>
  </r>
  <r>
    <s v="BK00472"/>
    <s v="CUST2632"/>
    <x v="79"/>
    <d v="2024-03-29T00:00:00"/>
    <d v="2024-03-30T00:00:00"/>
    <x v="3"/>
    <x v="3"/>
    <s v="March"/>
    <x v="1"/>
    <x v="2"/>
    <x v="5"/>
    <x v="3"/>
    <n v="969.75"/>
    <n v="1"/>
    <n v="0"/>
    <s v="No"/>
    <n v="0"/>
    <x v="0"/>
    <n v="1"/>
  </r>
  <r>
    <s v="BK00265"/>
    <s v="CUST6824"/>
    <x v="80"/>
    <d v="2024-04-09T00:00:00"/>
    <d v="2024-04-12T00:00:00"/>
    <x v="3"/>
    <x v="4"/>
    <s v="March"/>
    <x v="0"/>
    <x v="2"/>
    <x v="0"/>
    <x v="2"/>
    <n v="1101.3699999999999"/>
    <n v="3"/>
    <n v="10"/>
    <s v="Yes"/>
    <n v="1"/>
    <x v="0"/>
    <n v="1"/>
  </r>
  <r>
    <s v="BK00270"/>
    <s v="CUST2624"/>
    <x v="80"/>
    <d v="2024-04-09T00:00:00"/>
    <d v="2024-04-10T00:00:00"/>
    <x v="3"/>
    <x v="4"/>
    <s v="March"/>
    <x v="1"/>
    <x v="2"/>
    <x v="2"/>
    <x v="1"/>
    <n v="782.02"/>
    <n v="1"/>
    <n v="20"/>
    <s v="Yes"/>
    <n v="1"/>
    <x v="1"/>
    <n v="0"/>
  </r>
  <r>
    <s v="BK00384"/>
    <s v="CUST3379"/>
    <x v="80"/>
    <d v="2024-04-15T00:00:00"/>
    <d v="2024-04-17T00:00:00"/>
    <x v="3"/>
    <x v="4"/>
    <s v="March"/>
    <x v="2"/>
    <x v="2"/>
    <x v="4"/>
    <x v="0"/>
    <n v="858.49"/>
    <n v="2"/>
    <n v="25"/>
    <s v="Yes"/>
    <n v="1"/>
    <x v="1"/>
    <n v="0"/>
  </r>
  <r>
    <s v="BK00400"/>
    <s v="CUST2192"/>
    <x v="80"/>
    <d v="2024-03-30T00:00:00"/>
    <d v="2024-04-02T00:00:00"/>
    <x v="3"/>
    <x v="4"/>
    <s v="March"/>
    <x v="2"/>
    <x v="0"/>
    <x v="5"/>
    <x v="1"/>
    <n v="177.93"/>
    <n v="3"/>
    <n v="25"/>
    <s v="Yes"/>
    <n v="1"/>
    <x v="0"/>
    <n v="1"/>
  </r>
  <r>
    <s v="BK00068"/>
    <s v="CUST1937"/>
    <x v="81"/>
    <d v="2024-03-29T00:00:00"/>
    <d v="2024-03-30T00:00:00"/>
    <x v="3"/>
    <x v="5"/>
    <s v="March"/>
    <x v="0"/>
    <x v="1"/>
    <x v="1"/>
    <x v="2"/>
    <n v="1099.5999999999999"/>
    <n v="1"/>
    <n v="20"/>
    <s v="Yes"/>
    <n v="1"/>
    <x v="1"/>
    <n v="0"/>
  </r>
  <r>
    <s v="BK00325"/>
    <s v="CUST6035"/>
    <x v="81"/>
    <d v="2024-04-06T00:00:00"/>
    <d v="2024-04-10T00:00:00"/>
    <x v="3"/>
    <x v="5"/>
    <s v="March"/>
    <x v="1"/>
    <x v="0"/>
    <x v="3"/>
    <x v="0"/>
    <n v="717.28"/>
    <n v="4"/>
    <n v="0"/>
    <s v="No"/>
    <n v="0"/>
    <x v="0"/>
    <n v="1"/>
  </r>
  <r>
    <s v="BK00347"/>
    <s v="CUST4298"/>
    <x v="81"/>
    <d v="2024-04-17T00:00:00"/>
    <d v="2024-04-24T00:00:00"/>
    <x v="3"/>
    <x v="5"/>
    <s v="March"/>
    <x v="1"/>
    <x v="0"/>
    <x v="3"/>
    <x v="0"/>
    <n v="599.16"/>
    <n v="7"/>
    <n v="25"/>
    <s v="Yes"/>
    <n v="1"/>
    <x v="1"/>
    <n v="0"/>
  </r>
  <r>
    <s v="BK00369"/>
    <s v="CUST1107"/>
    <x v="81"/>
    <d v="2024-04-15T00:00:00"/>
    <d v="2024-04-24T00:00:00"/>
    <x v="3"/>
    <x v="5"/>
    <s v="March"/>
    <x v="2"/>
    <x v="1"/>
    <x v="0"/>
    <x v="2"/>
    <n v="1178.1500000000001"/>
    <n v="9"/>
    <n v="15"/>
    <s v="Yes"/>
    <n v="1"/>
    <x v="0"/>
    <n v="1"/>
  </r>
  <r>
    <s v="BK00440"/>
    <s v="CUST2322"/>
    <x v="81"/>
    <d v="2024-04-17T00:00:00"/>
    <d v="2024-04-22T00:00:00"/>
    <x v="3"/>
    <x v="5"/>
    <s v="March"/>
    <x v="0"/>
    <x v="0"/>
    <x v="5"/>
    <x v="0"/>
    <n v="658.26"/>
    <n v="5"/>
    <n v="10"/>
    <s v="Yes"/>
    <n v="1"/>
    <x v="1"/>
    <n v="0"/>
  </r>
  <r>
    <s v="BK00444"/>
    <s v="CUST5804"/>
    <x v="81"/>
    <d v="2024-04-14T00:00:00"/>
    <d v="2024-04-24T00:00:00"/>
    <x v="3"/>
    <x v="5"/>
    <s v="March"/>
    <x v="0"/>
    <x v="2"/>
    <x v="1"/>
    <x v="2"/>
    <n v="165.46"/>
    <n v="10"/>
    <n v="10"/>
    <s v="Yes"/>
    <n v="1"/>
    <x v="0"/>
    <n v="1"/>
  </r>
  <r>
    <s v="BK00047"/>
    <s v="CUST7866"/>
    <x v="82"/>
    <d v="2024-04-10T00:00:00"/>
    <d v="2024-04-17T00:00:00"/>
    <x v="4"/>
    <x v="6"/>
    <s v="March"/>
    <x v="0"/>
    <x v="2"/>
    <x v="3"/>
    <x v="1"/>
    <n v="1386.89"/>
    <n v="7"/>
    <n v="0"/>
    <s v="No"/>
    <n v="0"/>
    <x v="0"/>
    <n v="1"/>
  </r>
  <r>
    <s v="BK00089"/>
    <s v="CUST9021"/>
    <x v="82"/>
    <d v="2024-04-22T00:00:00"/>
    <d v="2024-04-23T00:00:00"/>
    <x v="4"/>
    <x v="6"/>
    <s v="March"/>
    <x v="0"/>
    <x v="2"/>
    <x v="4"/>
    <x v="3"/>
    <n v="1171.49"/>
    <n v="1"/>
    <n v="5"/>
    <s v="Yes"/>
    <n v="1"/>
    <x v="0"/>
    <n v="1"/>
  </r>
  <r>
    <s v="BK00104"/>
    <s v="CUST1752"/>
    <x v="82"/>
    <d v="2024-04-05T00:00:00"/>
    <d v="2024-04-10T00:00:00"/>
    <x v="4"/>
    <x v="6"/>
    <s v="March"/>
    <x v="1"/>
    <x v="3"/>
    <x v="4"/>
    <x v="0"/>
    <n v="585.65"/>
    <n v="5"/>
    <n v="20"/>
    <s v="Yes"/>
    <n v="1"/>
    <x v="1"/>
    <n v="0"/>
  </r>
  <r>
    <s v="BK00150"/>
    <s v="CUST7508"/>
    <x v="82"/>
    <d v="2024-04-05T00:00:00"/>
    <d v="2024-04-15T00:00:00"/>
    <x v="4"/>
    <x v="6"/>
    <s v="March"/>
    <x v="0"/>
    <x v="1"/>
    <x v="1"/>
    <x v="3"/>
    <n v="1037.51"/>
    <n v="10"/>
    <n v="0"/>
    <s v="No"/>
    <n v="0"/>
    <x v="1"/>
    <n v="0"/>
  </r>
  <r>
    <s v="BK00258"/>
    <s v="CUST3108"/>
    <x v="82"/>
    <d v="2024-04-13T00:00:00"/>
    <d v="2024-04-15T00:00:00"/>
    <x v="4"/>
    <x v="6"/>
    <s v="March"/>
    <x v="0"/>
    <x v="0"/>
    <x v="0"/>
    <x v="1"/>
    <n v="552.46"/>
    <n v="2"/>
    <n v="5"/>
    <s v="Yes"/>
    <n v="1"/>
    <x v="0"/>
    <n v="1"/>
  </r>
  <r>
    <s v="BK00338"/>
    <s v="CUST7141"/>
    <x v="82"/>
    <d v="2024-04-12T00:00:00"/>
    <d v="2024-04-15T00:00:00"/>
    <x v="4"/>
    <x v="6"/>
    <s v="March"/>
    <x v="0"/>
    <x v="0"/>
    <x v="3"/>
    <x v="3"/>
    <n v="909.34"/>
    <n v="3"/>
    <n v="15"/>
    <s v="Yes"/>
    <n v="1"/>
    <x v="1"/>
    <n v="0"/>
  </r>
  <r>
    <s v="BK00441"/>
    <s v="CUST4101"/>
    <x v="82"/>
    <d v="2024-03-27T00:00:00"/>
    <d v="2024-03-29T00:00:00"/>
    <x v="4"/>
    <x v="6"/>
    <s v="March"/>
    <x v="0"/>
    <x v="3"/>
    <x v="0"/>
    <x v="3"/>
    <n v="884.22"/>
    <n v="2"/>
    <n v="20"/>
    <s v="Yes"/>
    <n v="1"/>
    <x v="1"/>
    <n v="0"/>
  </r>
  <r>
    <s v="BK00025"/>
    <s v="CUST3191"/>
    <x v="83"/>
    <d v="2024-04-18T00:00:00"/>
    <d v="2024-04-22T00:00:00"/>
    <x v="4"/>
    <x v="0"/>
    <s v="March"/>
    <x v="2"/>
    <x v="0"/>
    <x v="0"/>
    <x v="3"/>
    <n v="1161.21"/>
    <n v="4"/>
    <n v="20"/>
    <s v="Yes"/>
    <n v="1"/>
    <x v="0"/>
    <n v="1"/>
  </r>
  <r>
    <s v="BK00102"/>
    <s v="CUST1304"/>
    <x v="83"/>
    <d v="2024-04-21T00:00:00"/>
    <d v="2024-04-25T00:00:00"/>
    <x v="4"/>
    <x v="0"/>
    <s v="March"/>
    <x v="0"/>
    <x v="3"/>
    <x v="1"/>
    <x v="2"/>
    <n v="1046.3699999999999"/>
    <n v="4"/>
    <n v="10"/>
    <s v="Yes"/>
    <n v="1"/>
    <x v="1"/>
    <n v="0"/>
  </r>
  <r>
    <s v="BK00334"/>
    <s v="CUST9557"/>
    <x v="83"/>
    <d v="2024-04-21T00:00:00"/>
    <d v="2024-04-28T00:00:00"/>
    <x v="4"/>
    <x v="0"/>
    <s v="March"/>
    <x v="1"/>
    <x v="2"/>
    <x v="0"/>
    <x v="1"/>
    <n v="693.74"/>
    <n v="7"/>
    <n v="20"/>
    <s v="Yes"/>
    <n v="1"/>
    <x v="1"/>
    <n v="0"/>
  </r>
  <r>
    <s v="BK00412"/>
    <s v="CUST2974"/>
    <x v="83"/>
    <d v="2024-04-15T00:00:00"/>
    <d v="2024-04-24T00:00:00"/>
    <x v="4"/>
    <x v="0"/>
    <s v="March"/>
    <x v="1"/>
    <x v="0"/>
    <x v="3"/>
    <x v="2"/>
    <n v="795.28"/>
    <n v="9"/>
    <n v="10"/>
    <s v="Yes"/>
    <n v="1"/>
    <x v="1"/>
    <n v="0"/>
  </r>
  <r>
    <s v="BK00072"/>
    <s v="CUST7698"/>
    <x v="84"/>
    <d v="2024-04-22T00:00:00"/>
    <d v="2024-04-23T00:00:00"/>
    <x v="4"/>
    <x v="1"/>
    <s v="March"/>
    <x v="2"/>
    <x v="1"/>
    <x v="4"/>
    <x v="0"/>
    <n v="995.27"/>
    <n v="1"/>
    <n v="0"/>
    <s v="No"/>
    <n v="0"/>
    <x v="1"/>
    <n v="0"/>
  </r>
  <r>
    <s v="BK00151"/>
    <s v="CUST2673"/>
    <x v="84"/>
    <d v="2024-04-16T00:00:00"/>
    <d v="2024-04-24T00:00:00"/>
    <x v="4"/>
    <x v="1"/>
    <s v="March"/>
    <x v="0"/>
    <x v="0"/>
    <x v="2"/>
    <x v="3"/>
    <n v="981.11"/>
    <n v="8"/>
    <n v="20"/>
    <s v="Yes"/>
    <n v="1"/>
    <x v="0"/>
    <n v="1"/>
  </r>
  <r>
    <s v="BK00209"/>
    <s v="CUST4938"/>
    <x v="84"/>
    <d v="2024-04-21T00:00:00"/>
    <d v="2024-04-25T00:00:00"/>
    <x v="4"/>
    <x v="1"/>
    <s v="March"/>
    <x v="0"/>
    <x v="2"/>
    <x v="4"/>
    <x v="1"/>
    <n v="762.23"/>
    <n v="4"/>
    <n v="25"/>
    <s v="Yes"/>
    <n v="1"/>
    <x v="1"/>
    <n v="0"/>
  </r>
  <r>
    <s v="BK00293"/>
    <s v="CUST8570"/>
    <x v="84"/>
    <d v="2024-04-12T00:00:00"/>
    <d v="2024-04-20T00:00:00"/>
    <x v="4"/>
    <x v="1"/>
    <s v="March"/>
    <x v="2"/>
    <x v="2"/>
    <x v="0"/>
    <x v="2"/>
    <n v="1465.86"/>
    <n v="8"/>
    <n v="10"/>
    <s v="Yes"/>
    <n v="1"/>
    <x v="1"/>
    <n v="0"/>
  </r>
  <r>
    <s v="BK00324"/>
    <s v="CUST4580"/>
    <x v="84"/>
    <d v="2024-04-09T00:00:00"/>
    <d v="2024-04-13T00:00:00"/>
    <x v="4"/>
    <x v="1"/>
    <s v="March"/>
    <x v="1"/>
    <x v="0"/>
    <x v="5"/>
    <x v="0"/>
    <n v="147"/>
    <n v="4"/>
    <n v="25"/>
    <s v="Yes"/>
    <n v="1"/>
    <x v="0"/>
    <n v="1"/>
  </r>
  <r>
    <s v="BK00471"/>
    <s v="CUST4517"/>
    <x v="84"/>
    <d v="2024-04-06T00:00:00"/>
    <d v="2024-04-15T00:00:00"/>
    <x v="4"/>
    <x v="1"/>
    <s v="March"/>
    <x v="1"/>
    <x v="1"/>
    <x v="5"/>
    <x v="3"/>
    <n v="628.12"/>
    <n v="9"/>
    <n v="20"/>
    <s v="Yes"/>
    <n v="1"/>
    <x v="0"/>
    <n v="1"/>
  </r>
  <r>
    <s v="BK00054"/>
    <s v="CUST7005"/>
    <x v="85"/>
    <d v="2024-04-10T00:00:00"/>
    <d v="2024-04-13T00:00:00"/>
    <x v="4"/>
    <x v="2"/>
    <s v="March"/>
    <x v="1"/>
    <x v="0"/>
    <x v="1"/>
    <x v="2"/>
    <n v="885.59"/>
    <n v="3"/>
    <n v="20"/>
    <s v="Yes"/>
    <n v="1"/>
    <x v="0"/>
    <n v="1"/>
  </r>
  <r>
    <s v="BK00144"/>
    <s v="CUST9111"/>
    <x v="85"/>
    <d v="2024-04-22T00:00:00"/>
    <d v="2024-05-01T00:00:00"/>
    <x v="4"/>
    <x v="2"/>
    <s v="March"/>
    <x v="0"/>
    <x v="3"/>
    <x v="0"/>
    <x v="2"/>
    <n v="968.94"/>
    <n v="9"/>
    <n v="25"/>
    <s v="Yes"/>
    <n v="1"/>
    <x v="1"/>
    <n v="0"/>
  </r>
  <r>
    <s v="BK00261"/>
    <s v="CUST2216"/>
    <x v="85"/>
    <d v="2024-04-18T00:00:00"/>
    <d v="2024-04-25T00:00:00"/>
    <x v="4"/>
    <x v="2"/>
    <s v="March"/>
    <x v="1"/>
    <x v="0"/>
    <x v="3"/>
    <x v="2"/>
    <n v="1198.92"/>
    <n v="7"/>
    <n v="5"/>
    <s v="Yes"/>
    <n v="1"/>
    <x v="1"/>
    <n v="0"/>
  </r>
  <r>
    <s v="BK00371"/>
    <s v="CUST9181"/>
    <x v="85"/>
    <d v="2024-04-21T00:00:00"/>
    <d v="2024-04-23T00:00:00"/>
    <x v="4"/>
    <x v="2"/>
    <s v="March"/>
    <x v="0"/>
    <x v="0"/>
    <x v="5"/>
    <x v="0"/>
    <n v="367.49"/>
    <n v="2"/>
    <n v="10"/>
    <s v="Yes"/>
    <n v="1"/>
    <x v="0"/>
    <n v="1"/>
  </r>
  <r>
    <s v="BK00426"/>
    <s v="CUST3339"/>
    <x v="85"/>
    <d v="2024-04-09T00:00:00"/>
    <d v="2024-04-14T00:00:00"/>
    <x v="4"/>
    <x v="2"/>
    <s v="March"/>
    <x v="0"/>
    <x v="0"/>
    <x v="2"/>
    <x v="0"/>
    <n v="624.08000000000004"/>
    <n v="5"/>
    <n v="0"/>
    <s v="No"/>
    <n v="0"/>
    <x v="0"/>
    <n v="1"/>
  </r>
  <r>
    <s v="BK00048"/>
    <s v="CUST3607"/>
    <x v="86"/>
    <d v="2024-04-22T00:00:00"/>
    <d v="2024-04-24T00:00:00"/>
    <x v="4"/>
    <x v="3"/>
    <s v="March"/>
    <x v="2"/>
    <x v="3"/>
    <x v="3"/>
    <x v="3"/>
    <n v="777.35"/>
    <n v="2"/>
    <n v="5"/>
    <s v="Yes"/>
    <n v="1"/>
    <x v="1"/>
    <n v="0"/>
  </r>
  <r>
    <s v="BK00238"/>
    <s v="CUST6512"/>
    <x v="86"/>
    <d v="2024-04-23T00:00:00"/>
    <d v="2024-05-01T00:00:00"/>
    <x v="4"/>
    <x v="3"/>
    <s v="March"/>
    <x v="2"/>
    <x v="3"/>
    <x v="2"/>
    <x v="1"/>
    <n v="334.25"/>
    <n v="8"/>
    <n v="10"/>
    <s v="Yes"/>
    <n v="1"/>
    <x v="0"/>
    <n v="1"/>
  </r>
  <r>
    <s v="BK00468"/>
    <s v="CUST1680"/>
    <x v="86"/>
    <d v="2024-04-23T00:00:00"/>
    <d v="2024-04-26T00:00:00"/>
    <x v="4"/>
    <x v="3"/>
    <s v="March"/>
    <x v="0"/>
    <x v="3"/>
    <x v="2"/>
    <x v="3"/>
    <n v="1319.58"/>
    <n v="3"/>
    <n v="0"/>
    <s v="No"/>
    <n v="0"/>
    <x v="0"/>
    <n v="1"/>
  </r>
  <r>
    <s v="BK00164"/>
    <s v="CUST4691"/>
    <x v="87"/>
    <d v="2024-04-21T00:00:00"/>
    <d v="2024-04-25T00:00:00"/>
    <x v="4"/>
    <x v="4"/>
    <s v="March"/>
    <x v="1"/>
    <x v="3"/>
    <x v="5"/>
    <x v="1"/>
    <n v="1003.29"/>
    <n v="4"/>
    <n v="20"/>
    <s v="Yes"/>
    <n v="1"/>
    <x v="0"/>
    <n v="1"/>
  </r>
  <r>
    <s v="BK00192"/>
    <s v="CUST1121"/>
    <x v="87"/>
    <d v="2024-04-13T00:00:00"/>
    <d v="2024-04-17T00:00:00"/>
    <x v="4"/>
    <x v="4"/>
    <s v="March"/>
    <x v="0"/>
    <x v="1"/>
    <x v="3"/>
    <x v="0"/>
    <n v="176.21"/>
    <n v="4"/>
    <n v="15"/>
    <s v="Yes"/>
    <n v="1"/>
    <x v="1"/>
    <n v="0"/>
  </r>
  <r>
    <s v="BK00218"/>
    <s v="CUST3142"/>
    <x v="87"/>
    <d v="2024-04-04T00:00:00"/>
    <d v="2024-04-07T00:00:00"/>
    <x v="4"/>
    <x v="4"/>
    <s v="March"/>
    <x v="0"/>
    <x v="3"/>
    <x v="1"/>
    <x v="0"/>
    <n v="503.13"/>
    <n v="3"/>
    <n v="10"/>
    <s v="Yes"/>
    <n v="1"/>
    <x v="1"/>
    <n v="0"/>
  </r>
  <r>
    <s v="BK00266"/>
    <s v="CUST8598"/>
    <x v="87"/>
    <d v="2024-04-04T00:00:00"/>
    <d v="2024-04-10T00:00:00"/>
    <x v="4"/>
    <x v="4"/>
    <s v="March"/>
    <x v="2"/>
    <x v="0"/>
    <x v="1"/>
    <x v="2"/>
    <n v="670.77"/>
    <n v="6"/>
    <n v="10"/>
    <s v="Yes"/>
    <n v="1"/>
    <x v="0"/>
    <n v="1"/>
  </r>
  <r>
    <s v="BK00415"/>
    <s v="CUST7814"/>
    <x v="87"/>
    <d v="2024-04-01T00:00:00"/>
    <d v="2024-04-05T00:00:00"/>
    <x v="4"/>
    <x v="4"/>
    <s v="March"/>
    <x v="2"/>
    <x v="2"/>
    <x v="4"/>
    <x v="1"/>
    <n v="836.87"/>
    <n v="4"/>
    <n v="20"/>
    <s v="Yes"/>
    <n v="1"/>
    <x v="0"/>
    <n v="1"/>
  </r>
  <r>
    <s v="BK00437"/>
    <s v="CUST8478"/>
    <x v="87"/>
    <d v="2024-04-28T00:00:00"/>
    <d v="2024-05-01T00:00:00"/>
    <x v="4"/>
    <x v="4"/>
    <s v="March"/>
    <x v="2"/>
    <x v="2"/>
    <x v="4"/>
    <x v="3"/>
    <n v="807.95"/>
    <n v="3"/>
    <n v="20"/>
    <s v="Yes"/>
    <n v="1"/>
    <x v="0"/>
    <n v="1"/>
  </r>
  <r>
    <s v="BK00460"/>
    <s v="CUST8149"/>
    <x v="87"/>
    <d v="2024-04-09T00:00:00"/>
    <d v="2024-04-15T00:00:00"/>
    <x v="4"/>
    <x v="4"/>
    <s v="March"/>
    <x v="0"/>
    <x v="0"/>
    <x v="3"/>
    <x v="0"/>
    <n v="366.1"/>
    <n v="6"/>
    <n v="5"/>
    <s v="Yes"/>
    <n v="1"/>
    <x v="1"/>
    <n v="0"/>
  </r>
  <r>
    <s v="BK00013"/>
    <s v="CUST7116"/>
    <x v="88"/>
    <d v="2024-04-10T00:00:00"/>
    <d v="2024-04-19T00:00:00"/>
    <x v="4"/>
    <x v="5"/>
    <s v="March"/>
    <x v="2"/>
    <x v="2"/>
    <x v="2"/>
    <x v="3"/>
    <n v="898.9"/>
    <n v="9"/>
    <n v="5"/>
    <s v="Yes"/>
    <n v="1"/>
    <x v="0"/>
    <n v="1"/>
  </r>
  <r>
    <s v="BK00153"/>
    <s v="CUST8255"/>
    <x v="88"/>
    <d v="2024-04-04T00:00:00"/>
    <d v="2024-04-10T00:00:00"/>
    <x v="4"/>
    <x v="5"/>
    <s v="March"/>
    <x v="2"/>
    <x v="1"/>
    <x v="3"/>
    <x v="1"/>
    <n v="465.06"/>
    <n v="6"/>
    <n v="20"/>
    <s v="Yes"/>
    <n v="1"/>
    <x v="1"/>
    <n v="0"/>
  </r>
  <r>
    <s v="BK00182"/>
    <s v="CUST3565"/>
    <x v="88"/>
    <d v="2024-04-11T00:00:00"/>
    <d v="2024-04-17T00:00:00"/>
    <x v="4"/>
    <x v="5"/>
    <s v="March"/>
    <x v="0"/>
    <x v="0"/>
    <x v="2"/>
    <x v="2"/>
    <n v="975.31"/>
    <n v="6"/>
    <n v="10"/>
    <s v="Yes"/>
    <n v="1"/>
    <x v="1"/>
    <n v="0"/>
  </r>
  <r>
    <s v="BK00274"/>
    <s v="CUST3483"/>
    <x v="88"/>
    <d v="2024-04-14T00:00:00"/>
    <d v="2024-04-21T00:00:00"/>
    <x v="4"/>
    <x v="5"/>
    <s v="March"/>
    <x v="1"/>
    <x v="3"/>
    <x v="1"/>
    <x v="0"/>
    <n v="335.03"/>
    <n v="7"/>
    <n v="10"/>
    <s v="Yes"/>
    <n v="1"/>
    <x v="0"/>
    <n v="1"/>
  </r>
  <r>
    <s v="BK00462"/>
    <s v="CUST5508"/>
    <x v="88"/>
    <d v="2024-04-06T00:00:00"/>
    <d v="2024-04-08T00:00:00"/>
    <x v="4"/>
    <x v="5"/>
    <s v="March"/>
    <x v="0"/>
    <x v="3"/>
    <x v="0"/>
    <x v="0"/>
    <n v="1117.27"/>
    <n v="2"/>
    <n v="20"/>
    <s v="Yes"/>
    <n v="1"/>
    <x v="0"/>
    <n v="1"/>
  </r>
  <r>
    <s v="BK00494"/>
    <s v="CUST2398"/>
    <x v="88"/>
    <d v="2024-04-11T00:00:00"/>
    <d v="2024-04-16T00:00:00"/>
    <x v="4"/>
    <x v="5"/>
    <s v="March"/>
    <x v="0"/>
    <x v="3"/>
    <x v="0"/>
    <x v="2"/>
    <n v="1329.28"/>
    <n v="5"/>
    <n v="15"/>
    <s v="Yes"/>
    <n v="1"/>
    <x v="1"/>
    <n v="0"/>
  </r>
  <r>
    <s v="BK00042"/>
    <s v="CUST1844"/>
    <x v="89"/>
    <d v="2024-04-24T00:00:00"/>
    <d v="2024-04-27T00:00:00"/>
    <x v="5"/>
    <x v="6"/>
    <s v="March"/>
    <x v="1"/>
    <x v="3"/>
    <x v="3"/>
    <x v="1"/>
    <n v="599.15"/>
    <n v="3"/>
    <n v="10"/>
    <s v="Yes"/>
    <n v="1"/>
    <x v="0"/>
    <n v="1"/>
  </r>
  <r>
    <s v="BK00075"/>
    <s v="CUST9206"/>
    <x v="89"/>
    <d v="2024-04-07T00:00:00"/>
    <d v="2024-04-15T00:00:00"/>
    <x v="5"/>
    <x v="6"/>
    <s v="March"/>
    <x v="1"/>
    <x v="2"/>
    <x v="0"/>
    <x v="1"/>
    <n v="1115.43"/>
    <n v="8"/>
    <n v="5"/>
    <s v="Yes"/>
    <n v="1"/>
    <x v="1"/>
    <n v="0"/>
  </r>
  <r>
    <s v="BK00180"/>
    <s v="CUST2247"/>
    <x v="89"/>
    <d v="2024-04-25T00:00:00"/>
    <d v="2024-04-29T00:00:00"/>
    <x v="5"/>
    <x v="6"/>
    <s v="March"/>
    <x v="2"/>
    <x v="3"/>
    <x v="1"/>
    <x v="0"/>
    <n v="919.53"/>
    <n v="4"/>
    <n v="0"/>
    <s v="No"/>
    <n v="0"/>
    <x v="1"/>
    <n v="0"/>
  </r>
  <r>
    <s v="BK00242"/>
    <s v="CUST9609"/>
    <x v="89"/>
    <d v="2024-04-11T00:00:00"/>
    <d v="2024-04-13T00:00:00"/>
    <x v="5"/>
    <x v="6"/>
    <s v="March"/>
    <x v="1"/>
    <x v="0"/>
    <x v="2"/>
    <x v="0"/>
    <n v="1462.92"/>
    <n v="2"/>
    <n v="20"/>
    <s v="Yes"/>
    <n v="1"/>
    <x v="1"/>
    <n v="0"/>
  </r>
  <r>
    <s v="BK00279"/>
    <s v="CUST8688"/>
    <x v="89"/>
    <d v="2024-04-02T00:00:00"/>
    <d v="2024-04-06T00:00:00"/>
    <x v="5"/>
    <x v="6"/>
    <s v="March"/>
    <x v="2"/>
    <x v="0"/>
    <x v="3"/>
    <x v="0"/>
    <n v="1166.79"/>
    <n v="4"/>
    <n v="15"/>
    <s v="Yes"/>
    <n v="1"/>
    <x v="0"/>
    <n v="1"/>
  </r>
  <r>
    <s v="BK00323"/>
    <s v="CUST6545"/>
    <x v="89"/>
    <d v="2024-04-12T00:00:00"/>
    <d v="2024-04-18T00:00:00"/>
    <x v="5"/>
    <x v="6"/>
    <s v="March"/>
    <x v="2"/>
    <x v="3"/>
    <x v="5"/>
    <x v="2"/>
    <n v="1160.72"/>
    <n v="6"/>
    <n v="15"/>
    <s v="Yes"/>
    <n v="1"/>
    <x v="0"/>
    <n v="1"/>
  </r>
  <r>
    <s v="BK00343"/>
    <s v="CUST2116"/>
    <x v="89"/>
    <d v="2024-04-07T00:00:00"/>
    <d v="2024-04-17T00:00:00"/>
    <x v="5"/>
    <x v="6"/>
    <s v="March"/>
    <x v="0"/>
    <x v="0"/>
    <x v="0"/>
    <x v="3"/>
    <n v="1268.2"/>
    <n v="10"/>
    <n v="10"/>
    <s v="Yes"/>
    <n v="1"/>
    <x v="0"/>
    <n v="1"/>
  </r>
  <r>
    <s v="BK00374"/>
    <s v="CUST3956"/>
    <x v="89"/>
    <d v="2024-04-30T00:00:00"/>
    <d v="2024-05-05T00:00:00"/>
    <x v="5"/>
    <x v="6"/>
    <s v="March"/>
    <x v="1"/>
    <x v="1"/>
    <x v="4"/>
    <x v="2"/>
    <n v="566.19000000000005"/>
    <n v="5"/>
    <n v="10"/>
    <s v="Yes"/>
    <n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D5:D6" firstHeaderRow="1" firstDataRow="1" firstDataCol="0" rowPageCount="1" colPageCount="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dataField="1" showAll="0"/>
    <pivotField showAll="0"/>
    <pivotField showAll="0"/>
    <pivotField showAll="0" defaultSubtotal="0"/>
    <pivotField axis="axisPage" multipleItemSelectionAllowed="1"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17" hier="-1"/>
  </pageFields>
  <dataFields count="1">
    <dataField name="Room Night" fld="13"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7" cacheId="9"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24">
  <location ref="B116:C123" firstHeaderRow="1" firstDataRow="1" firstDataCol="1"/>
  <pivotFields count="2">
    <pivotField axis="axisRow" allDrilled="1" showAll="0" defaultAttributeDrillState="1">
      <items count="7">
        <item x="2"/>
        <item x="4"/>
        <item x="1"/>
        <item x="3"/>
        <item x="5"/>
        <item x="0"/>
        <item t="default"/>
      </items>
    </pivotField>
    <pivotField dataField="1" showAll="0"/>
  </pivotFields>
  <rowFields count="1">
    <field x="0"/>
  </rowFields>
  <rowItems count="7">
    <i>
      <x/>
    </i>
    <i>
      <x v="1"/>
    </i>
    <i>
      <x v="2"/>
    </i>
    <i>
      <x v="3"/>
    </i>
    <i>
      <x v="4"/>
    </i>
    <i>
      <x v="5"/>
    </i>
    <i t="grand">
      <x/>
    </i>
  </rowItems>
  <colItems count="1">
    <i/>
  </colItems>
  <dataFields count="1">
    <dataField name="Average of Lenght Of Stays (LOS)" fld="1" subtotal="average" baseField="0" baseItem="0" numFmtId="165"/>
  </dataFields>
  <formats count="14">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collapsedLevelsAreSubtotals="1" fieldPosition="0">
        <references count="1">
          <reference field="0" count="0"/>
        </references>
      </pivotArea>
    </format>
    <format dxfId="66">
      <pivotArea collapsedLevelsAreSubtotals="1" fieldPosition="0">
        <references count="1">
          <reference field="0" count="0"/>
        </references>
      </pivotArea>
    </format>
    <format dxfId="65">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3" format="11"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3.xml><?xml version="1.0" encoding="utf-8"?>
<pivotTableDefinition xmlns="http://schemas.openxmlformats.org/spreadsheetml/2006/main" name="PivotTable21" cacheId="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A6:AA7" firstHeaderRow="1" firstDataRow="1" firstDataCol="0"/>
  <pivotFields count="1">
    <pivotField dataField="1" showAll="0"/>
  </pivotFields>
  <rowItems count="1">
    <i/>
  </rowItems>
  <colItems count="1">
    <i/>
  </colItems>
  <dataFields count="1">
    <dataField name="Count of Booking 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4.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Q5:Q6" firstHeaderRow="1" firstDataRow="1" firstDataCol="0"/>
  <pivotFields count="1">
    <pivotField dataField="1" showAll="0"/>
  </pivotFields>
  <rowItems count="1">
    <i/>
  </rowItems>
  <colItems count="1">
    <i/>
  </colItems>
  <dataFields count="1">
    <dataField name="No. Applied Promo" fld="0"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5.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J46:K66" firstHeaderRow="1" firstDataRow="1" firstDataCol="1"/>
  <pivotFields count="2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axis="axisRow" showAll="0">
      <items count="7">
        <item sd="0" x="0"/>
        <item sd="0" x="1"/>
        <item sd="0" x="2"/>
        <item sd="0" x="3"/>
        <item sd="0" x="4"/>
        <item sd="0" x="5"/>
        <item t="default" sd="0"/>
      </items>
    </pivotField>
    <pivotField showAl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dataField="1" showAll="0"/>
    <pivotField showAll="0"/>
    <pivotField showAll="0"/>
    <pivotField showAll="0"/>
    <pivotField showAll="0"/>
    <pivotField axis="axisRow" showAll="0" defaultSubtotal="0">
      <items count="14">
        <item sd="0" x="0"/>
        <item x="1"/>
        <item x="2"/>
        <item x="3"/>
        <item sd="0" x="4"/>
        <item sd="0" x="5"/>
        <item sd="0" x="6"/>
        <item sd="0" x="7"/>
        <item sd="0" x="8"/>
        <item sd="0" x="9"/>
        <item sd="0" x="10"/>
        <item sd="0" x="11"/>
        <item sd="0" x="12"/>
        <item sd="0" x="13"/>
      </items>
    </pivotField>
  </pivotFields>
  <rowFields count="3">
    <field x="19"/>
    <field x="5"/>
    <field x="2"/>
  </rowFields>
  <rowItems count="20">
    <i>
      <x v="1"/>
    </i>
    <i r="1">
      <x/>
    </i>
    <i r="1">
      <x v="1"/>
    </i>
    <i r="1">
      <x v="2"/>
    </i>
    <i r="1">
      <x v="3"/>
    </i>
    <i r="1">
      <x v="4"/>
    </i>
    <i>
      <x v="2"/>
    </i>
    <i r="1">
      <x/>
    </i>
    <i r="1">
      <x v="1"/>
    </i>
    <i r="1">
      <x v="2"/>
    </i>
    <i r="1">
      <x v="3"/>
    </i>
    <i r="1">
      <x v="4"/>
    </i>
    <i>
      <x v="3"/>
    </i>
    <i r="1">
      <x/>
    </i>
    <i r="1">
      <x v="1"/>
    </i>
    <i r="1">
      <x v="2"/>
    </i>
    <i r="1">
      <x v="3"/>
    </i>
    <i r="1">
      <x v="4"/>
    </i>
    <i r="1">
      <x v="5"/>
    </i>
    <i t="grand">
      <x/>
    </i>
  </rowItems>
  <colItems count="1">
    <i/>
  </colItems>
  <dataFields count="1">
    <dataField name="Sum of Discount Applied" fld="14" baseField="0" baseItem="0"/>
  </dataFields>
  <chartFormats count="4">
    <chartFormat chart="0" format="1"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5"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S118:U126"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efaultAttributeDrillState="1">
      <items count="7">
        <item x="2"/>
        <item x="4"/>
        <item x="1"/>
        <item x="3"/>
        <item x="5"/>
        <item x="0"/>
        <item t="default"/>
      </items>
    </pivotField>
  </pivotFields>
  <rowFields count="1">
    <field x="2"/>
  </rowFields>
  <rowItems count="7">
    <i>
      <x/>
    </i>
    <i>
      <x v="1"/>
    </i>
    <i>
      <x v="2"/>
    </i>
    <i>
      <x v="3"/>
    </i>
    <i>
      <x v="4"/>
    </i>
    <i>
      <x v="5"/>
    </i>
    <i t="grand">
      <x/>
    </i>
  </rowItems>
  <colFields count="1">
    <field x="1"/>
  </colFields>
  <colItems count="2">
    <i>
      <x/>
    </i>
    <i t="grand">
      <x/>
    </i>
  </colItems>
  <dataFields count="1">
    <dataField name="Count of Booking ID" fld="0" subtotal="count" baseField="2" baseItem="0" numFmtId="10">
      <extLst>
        <ext xmlns:x14="http://schemas.microsoft.com/office/spreadsheetml/2009/9/main" uri="{E15A36E0-9728-4e99-A89B-3F7291B0FE68}">
          <x14:dataField pivotShowAs="percentOfParentRow"/>
        </ext>
      </extLst>
    </dataField>
  </dataFields>
  <formats count="2">
    <format dxfId="80">
      <pivotArea collapsedLevelsAreSubtotals="1" fieldPosition="0">
        <references count="2">
          <reference field="1" count="0" selected="0"/>
          <reference field="2" count="0"/>
        </references>
      </pivotArea>
    </format>
    <format dxfId="79">
      <pivotArea collapsedLevelsAreSubtotals="1" fieldPosition="0">
        <references count="2">
          <reference field="1" count="0" selected="0"/>
          <reference field="2" count="0"/>
        </references>
      </pivotArea>
    </format>
  </formats>
  <chartFormats count="7">
    <chartFormat chart="3" format="1" series="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3">
          <reference field="4294967294" count="1" selected="0">
            <x v="0"/>
          </reference>
          <reference field="1" count="1" selected="0">
            <x v="0"/>
          </reference>
          <reference field="2" count="1" selected="0">
            <x v="0"/>
          </reference>
        </references>
      </pivotArea>
    </chartFormat>
    <chartFormat chart="3" format="3">
      <pivotArea type="data" outline="0" fieldPosition="0">
        <references count="3">
          <reference field="4294967294" count="1" selected="0">
            <x v="0"/>
          </reference>
          <reference field="1" count="1" selected="0">
            <x v="0"/>
          </reference>
          <reference field="2" count="1" selected="0">
            <x v="1"/>
          </reference>
        </references>
      </pivotArea>
    </chartFormat>
    <chartFormat chart="3" format="4">
      <pivotArea type="data" outline="0" fieldPosition="0">
        <references count="3">
          <reference field="4294967294" count="1" selected="0">
            <x v="0"/>
          </reference>
          <reference field="1" count="1" selected="0">
            <x v="0"/>
          </reference>
          <reference field="2" count="1" selected="0">
            <x v="2"/>
          </reference>
        </references>
      </pivotArea>
    </chartFormat>
    <chartFormat chart="3" format="5">
      <pivotArea type="data" outline="0" fieldPosition="0">
        <references count="3">
          <reference field="4294967294" count="1" selected="0">
            <x v="0"/>
          </reference>
          <reference field="1" count="1" selected="0">
            <x v="0"/>
          </reference>
          <reference field="2" count="1" selected="0">
            <x v="3"/>
          </reference>
        </references>
      </pivotArea>
    </chartFormat>
    <chartFormat chart="3" format="6">
      <pivotArea type="data" outline="0" fieldPosition="0">
        <references count="3">
          <reference field="4294967294" count="1" selected="0">
            <x v="0"/>
          </reference>
          <reference field="1" count="1" selected="0">
            <x v="0"/>
          </reference>
          <reference field="2" count="1" selected="0">
            <x v="4"/>
          </reference>
        </references>
      </pivotArea>
    </chartFormat>
    <chartFormat chart="3" format="7">
      <pivotArea type="data" outline="0" fieldPosition="0">
        <references count="3">
          <reference field="4294967294" count="1" selected="0">
            <x v="0"/>
          </reference>
          <reference field="1" count="1" selected="0">
            <x v="0"/>
          </reference>
          <reference field="2" count="1" selected="0">
            <x v="5"/>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H5:H6" firstHeaderRow="1" firstDataRow="1" firstDataCol="0" rowPageCount="1" colPageCount="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dataField="1" showAll="0"/>
    <pivotField showAll="0"/>
    <pivotField showAll="0"/>
    <pivotField showAll="0"/>
    <pivotField showAll="0" defaultSubtotal="0"/>
    <pivotField axis="axisPage" multipleItemSelectionAllowed="1"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17" hier="-1"/>
  </pageFields>
  <dataFields count="1">
    <dataField name="Ave Booking Value" fld="12" subtotal="average" baseField="0" baseItem="0" numFmtId="164"/>
  </dataFields>
  <formats count="3">
    <format dxfId="83">
      <pivotArea outline="0" collapsedLevelsAreSubtotals="1" fieldPosition="0"/>
    </format>
    <format dxfId="82">
      <pivotArea outline="0" collapsedLevelsAreSubtotals="1" fieldPosition="0"/>
    </format>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L5:L6" firstHeaderRow="1" firstDataRow="1" firstDataCol="0"/>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dataField="1" showAll="0"/>
    <pivotField showAll="0"/>
    <pivotField showAll="0" defaultSubtota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Promo per Booking" fld="14" subtotal="average" baseField="0" baseItem="0" numFmtId="1"/>
  </dataFields>
  <formats count="2">
    <format dxfId="85">
      <pivotArea outline="0" collapsedLevelsAreSubtotals="1" fieldPosition="0"/>
    </format>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6" cacheId="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1">
  <location ref="Y91:AB99" firstHeaderRow="1" firstDataRow="2" firstDataCol="1"/>
  <pivotFields count="3">
    <pivotField axis="axisRow" allDrilled="1" showAll="0" defaultAttributeDrillState="1">
      <items count="7">
        <item x="1"/>
        <item x="4"/>
        <item x="5"/>
        <item x="0"/>
        <item x="2"/>
        <item x="3"/>
        <item t="default"/>
      </items>
    </pivotField>
    <pivotField axis="axisCol" allDrilled="1" showAll="0" dataSourceSort="1" defaultAttributeDrillState="1">
      <items count="3">
        <item x="0"/>
        <item x="1"/>
        <item t="default"/>
      </items>
    </pivotField>
    <pivotField dataField="1" showAll="0"/>
  </pivotFields>
  <rowFields count="1">
    <field x="0"/>
  </rowFields>
  <rowItems count="7">
    <i>
      <x/>
    </i>
    <i>
      <x v="1"/>
    </i>
    <i>
      <x v="2"/>
    </i>
    <i>
      <x v="3"/>
    </i>
    <i>
      <x v="4"/>
    </i>
    <i>
      <x v="5"/>
    </i>
    <i t="grand">
      <x/>
    </i>
  </rowItems>
  <colFields count="1">
    <field x="1"/>
  </colFields>
  <colItems count="3">
    <i>
      <x/>
    </i>
    <i>
      <x v="1"/>
    </i>
    <i t="grand">
      <x/>
    </i>
  </colItems>
  <dataFields count="1">
    <dataField name="Count of Booking ID" fld="2" subtotal="count" baseField="1" baseItem="0" numFmtId="9">
      <extLst>
        <ext xmlns:x14="http://schemas.microsoft.com/office/spreadsheetml/2009/9/main" uri="{E15A36E0-9728-4e99-A89B-3F7291B0FE68}">
          <x14:dataField pivotShowAs="percentOfParentRow"/>
        </ext>
      </extLst>
    </dataField>
  </dataFields>
  <formats count="2">
    <format dxfId="87">
      <pivotArea outline="0" collapsedLevelsAreSubtotals="1" fieldPosition="0"/>
    </format>
    <format dxfId="86">
      <pivotArea outline="0" collapsedLevelsAreSubtotals="1" fieldPosition="0"/>
    </format>
  </formats>
  <chartFormats count="8">
    <chartFormat chart="5" format="14" series="1">
      <pivotArea type="data" outline="0" fieldPosition="0">
        <references count="2">
          <reference field="4294967294" count="1" selected="0">
            <x v="0"/>
          </reference>
          <reference field="1" count="1" selected="0">
            <x v="0"/>
          </reference>
        </references>
      </pivotArea>
    </chartFormat>
    <chartFormat chart="5" format="15" series="1">
      <pivotArea type="data" outline="0" fieldPosition="0">
        <references count="2">
          <reference field="4294967294" count="1" selected="0">
            <x v="0"/>
          </reference>
          <reference field="1" count="1" selected="0">
            <x v="1"/>
          </reference>
        </references>
      </pivotArea>
    </chartFormat>
    <chartFormat chart="6" format="16" series="1">
      <pivotArea type="data" outline="0" fieldPosition="0">
        <references count="2">
          <reference field="4294967294" count="1" selected="0">
            <x v="0"/>
          </reference>
          <reference field="1" count="1" selected="0">
            <x v="0"/>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 chart="10" format="18" series="1">
      <pivotArea type="data" outline="0" fieldPosition="0">
        <references count="2">
          <reference field="4294967294" count="1" selected="0">
            <x v="0"/>
          </reference>
          <reference field="1" count="1" selected="0">
            <x v="0"/>
          </reference>
        </references>
      </pivotArea>
    </chartFormat>
    <chartFormat chart="10" format="19"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0"/>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10.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3">
  <location ref="U46:W55" firstHeaderRow="0" firstDataRow="1" firstDataCol="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pivotField axis="axisRow" showAll="0">
      <items count="8">
        <item x="6"/>
        <item x="0"/>
        <item x="1"/>
        <item x="2"/>
        <item x="3"/>
        <item x="4"/>
        <item x="5"/>
        <item t="default"/>
      </items>
    </pivotField>
    <pivotField showAl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dataField="1" showAll="0"/>
    <pivotField showAll="0"/>
    <pivotField dataField="1" showAll="0"/>
    <pivotField showAll="0"/>
    <pivotField showAll="0"/>
    <pivotField axis="axisRow" showAll="0">
      <items count="3">
        <item x="1"/>
        <item h="1" x="0"/>
        <item t="default"/>
      </items>
    </pivotField>
    <pivotField showAll="0"/>
    <pivotField showAll="0" defaultSubtotal="0">
      <items count="14">
        <item x="0"/>
        <item x="1"/>
        <item x="2"/>
        <item x="3"/>
        <item x="4"/>
        <item x="5"/>
        <item x="6"/>
        <item x="7"/>
        <item x="8"/>
        <item x="9"/>
        <item x="10"/>
        <item x="11"/>
        <item x="12"/>
        <item x="13"/>
      </items>
    </pivotField>
  </pivotFields>
  <rowFields count="2">
    <field x="17"/>
    <field x="6"/>
  </rowFields>
  <rowItems count="9">
    <i>
      <x/>
    </i>
    <i r="1">
      <x/>
    </i>
    <i r="1">
      <x v="1"/>
    </i>
    <i r="1">
      <x v="2"/>
    </i>
    <i r="1">
      <x v="3"/>
    </i>
    <i r="1">
      <x v="4"/>
    </i>
    <i r="1">
      <x v="5"/>
    </i>
    <i r="1">
      <x v="6"/>
    </i>
    <i t="grand">
      <x/>
    </i>
  </rowItems>
  <colFields count="1">
    <field x="-2"/>
  </colFields>
  <colItems count="2">
    <i>
      <x/>
    </i>
    <i i="1">
      <x v="1"/>
    </i>
  </colItems>
  <dataFields count="2">
    <dataField name="OTB Revenue" fld="12" baseField="17" baseItem="0" numFmtId="164"/>
    <dataField name="Applied Promotion Volume" fld="14" baseField="17" baseItem="0"/>
  </dataFields>
  <formats count="4">
    <format dxfId="91">
      <pivotArea collapsedLevelsAreSubtotals="1" fieldPosition="0">
        <references count="2">
          <reference field="4294967294" count="1" selected="0">
            <x v="0"/>
          </reference>
          <reference field="6" count="0"/>
        </references>
      </pivotArea>
    </format>
    <format dxfId="90">
      <pivotArea field="6" grandRow="1" outline="0" collapsedLevelsAreSubtotals="1" axis="axisRow" fieldPosition="1">
        <references count="1">
          <reference field="4294967294" count="1" selected="0">
            <x v="0"/>
          </reference>
        </references>
      </pivotArea>
    </format>
    <format dxfId="89">
      <pivotArea outline="0" collapsedLevelsAreSubtotals="1" fieldPosition="0">
        <references count="1">
          <reference field="4294967294" count="1" selected="0">
            <x v="0"/>
          </reference>
        </references>
      </pivotArea>
    </format>
    <format dxfId="88">
      <pivotArea outline="0" collapsedLevelsAreSubtotals="1" fieldPosition="0">
        <references count="1">
          <reference field="4294967294" count="1" selected="0">
            <x v="0"/>
          </reference>
        </references>
      </pivotArea>
    </format>
  </formats>
  <chartFormats count="2">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F5:F6" firstHeaderRow="1" firstDataRow="1" firstDataCol="0" rowPageCount="1" colPageCount="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showAll="0" defaultSubtotal="0"/>
    <pivotField axis="axisPage" dataField="1" multipleItemSelectionAllowed="1"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17" hier="-1"/>
  </pageFields>
  <dataFields count="1">
    <dataField name="No Cancellation" fld="17"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1" cacheId="1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O5:O6" firstHeaderRow="1" firstDataRow="1" firstDataCol="0"/>
  <pivotFields count="1">
    <pivotField dataField="1" showAll="0"/>
  </pivotFields>
  <rowItems count="1">
    <i/>
  </rowItems>
  <colItems count="1">
    <i/>
  </colItems>
  <dataFields count="1">
    <dataField name="Cacellation Rate" fld="0" subtotal="average" baseField="0" baseItem="1" numFmtId="9"/>
  </dataFields>
  <formats count="5">
    <format dxfId="96">
      <pivotArea dataOnly="0" labelOnly="1" outline="0" axis="axisValues" fieldPosition="0"/>
    </format>
    <format dxfId="95">
      <pivotArea dataOnly="0" labelOnly="1" outline="0" axis="axisValues" fieldPosition="0"/>
    </format>
    <format dxfId="94">
      <pivotArea dataOnly="0" labelOnly="1" outline="0" axis="axisValues" fieldPosition="0"/>
    </format>
    <format dxfId="93">
      <pivotArea dataOnly="0" labelOnly="1" outline="0" axis="axisValues" fieldPosition="0"/>
    </format>
    <format dxfId="92">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1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C5:C6" firstHeaderRow="1" firstDataRow="1" firstDataCol="0"/>
  <pivotFields count="2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showAll="0" defaultSubtota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Booking"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Y46:AA55" firstHeaderRow="0" firstDataRow="1" firstDataCol="1"/>
  <pivotFields count="2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axis="axisRow" showAll="0">
      <items count="7">
        <item sd="0" x="0"/>
        <item sd="0" x="1"/>
        <item sd="0" x="2"/>
        <item sd="0" x="3"/>
        <item sd="0" x="4"/>
        <item sd="0" x="5"/>
        <item t="default"/>
      </items>
    </pivotField>
    <pivotField showAll="0"/>
    <pivotField showAl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dataField="1" showAll="0"/>
    <pivotField showAll="0"/>
    <pivotField dataField="1" showAll="0"/>
    <pivotField showAll="0"/>
    <pivotField showAll="0"/>
    <pivotField axis="axisRow" showAll="0">
      <items count="3">
        <item x="1"/>
        <item sd="0" x="0"/>
        <item t="default"/>
      </items>
    </pivotField>
    <pivotField showAll="0"/>
    <pivotField axis="axisRow" showAll="0" defaultSubtotal="0">
      <items count="14">
        <item x="0"/>
        <item x="1"/>
        <item x="2"/>
        <item x="3"/>
        <item x="4"/>
        <item x="5"/>
        <item x="6"/>
        <item x="7"/>
        <item x="8"/>
        <item x="9"/>
        <item x="10"/>
        <item x="11"/>
        <item x="12"/>
        <item x="13"/>
      </items>
    </pivotField>
  </pivotFields>
  <rowFields count="4">
    <field x="17"/>
    <field x="5"/>
    <field x="19"/>
    <field x="2"/>
  </rowFields>
  <rowItems count="9">
    <i>
      <x/>
    </i>
    <i r="1">
      <x/>
    </i>
    <i r="1">
      <x v="1"/>
    </i>
    <i r="1">
      <x v="2"/>
    </i>
    <i r="1">
      <x v="3"/>
    </i>
    <i r="1">
      <x v="4"/>
    </i>
    <i r="1">
      <x v="5"/>
    </i>
    <i>
      <x v="1"/>
    </i>
    <i t="grand">
      <x/>
    </i>
  </rowItems>
  <colFields count="1">
    <field x="-2"/>
  </colFields>
  <colItems count="2">
    <i>
      <x/>
    </i>
    <i i="1">
      <x v="1"/>
    </i>
  </colItems>
  <dataFields count="2">
    <dataField name="Sum of Booking Amount" fld="12" baseField="0" baseItem="0" numFmtId="164"/>
    <dataField name="Sum of Discount Applied" fld="14" baseField="0" baseItem="0"/>
  </dataFields>
  <formats count="3">
    <format dxfId="99">
      <pivotArea outline="0" collapsedLevelsAreSubtotals="1" fieldPosition="0">
        <references count="1">
          <reference field="4294967294" count="1" selected="0">
            <x v="0"/>
          </reference>
        </references>
      </pivotArea>
    </format>
    <format dxfId="98">
      <pivotArea outline="0" collapsedLevelsAreSubtotals="1" fieldPosition="0">
        <references count="1">
          <reference field="4294967294" count="1" selected="0">
            <x v="0"/>
          </reference>
        </references>
      </pivotArea>
    </format>
    <format dxfId="9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0">
  <location ref="F46:G50" firstHeaderRow="1" firstDataRow="1" firstDataCol="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pivotField showAll="0"/>
    <pivotField showAll="0" defaultSubtotal="0"/>
    <pivotField axis="axisRow"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Discount Applied" fld="14" baseField="0" baseItem="0"/>
  </dataFields>
  <chartFormats count="3">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8" cacheId="1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6">
  <location ref="F116:G123" firstHeaderRow="1" firstDataRow="1" firstDataCol="1"/>
  <pivotFields count="2">
    <pivotField axis="axisRow" allDrilled="1" showAll="0" defaultAttributeDrillState="1">
      <items count="7">
        <item x="2"/>
        <item x="4"/>
        <item x="1"/>
        <item x="3"/>
        <item x="5"/>
        <item x="0"/>
        <item t="default"/>
      </items>
    </pivotField>
    <pivotField dataField="1" showAll="0"/>
  </pivotFields>
  <rowFields count="1">
    <field x="0"/>
  </rowFields>
  <rowItems count="7">
    <i>
      <x/>
    </i>
    <i>
      <x v="1"/>
    </i>
    <i>
      <x v="2"/>
    </i>
    <i>
      <x v="3"/>
    </i>
    <i>
      <x v="4"/>
    </i>
    <i>
      <x v="5"/>
    </i>
    <i t="grand">
      <x/>
    </i>
  </rowItems>
  <colItems count="1">
    <i/>
  </colItems>
  <dataFields count="1">
    <dataField name="Sum of Lenght Of Stays (LOS)" fld="1" baseField="0" baseItem="0"/>
  </dataFields>
  <chartFormats count="1">
    <chartFormat chart="5" format="1"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1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1">
  <location ref="L10:M14" firstHeaderRow="1" firstDataRow="1" firstDataCol="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pivotField showAll="0"/>
    <pivotField showAll="0" defaultSubtotal="0"/>
    <pivotField axis="axisRow" showAll="0">
      <items count="4">
        <item x="0"/>
        <item x="1"/>
        <item x="2"/>
        <item t="default"/>
      </items>
    </pivotField>
    <pivotField showAll="0">
      <items count="5">
        <item x="3"/>
        <item x="0"/>
        <item x="2"/>
        <item x="1"/>
        <item t="default"/>
      </items>
    </pivotField>
    <pivotField showAll="0">
      <items count="7">
        <item x="5"/>
        <item x="2"/>
        <item x="4"/>
        <item x="0"/>
        <item x="1"/>
        <item x="3"/>
        <item t="default"/>
      </items>
    </pivotField>
    <pivotField showAll="0">
      <items count="5">
        <item x="3"/>
        <item x="1"/>
        <item x="0"/>
        <item x="2"/>
        <item t="default"/>
      </items>
    </pivotField>
    <pivotField dataField="1"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Booking Amount" fld="12" baseField="16" baseItem="0" numFmtId="10">
      <extLst>
        <ext xmlns:x14="http://schemas.microsoft.com/office/spreadsheetml/2009/9/main" uri="{E15A36E0-9728-4e99-A89B-3F7291B0FE68}">
          <x14:dataField pivotShowAs="percentOfParentRow"/>
        </ext>
      </extLst>
    </dataField>
  </dataFields>
  <formats count="8">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fieldPosition="0">
        <references count="1">
          <reference field="4294967294" count="1">
            <x v="0"/>
          </reference>
        </references>
      </pivotArea>
    </format>
    <format dxfId="103">
      <pivotArea grandRow="1" outline="0" collapsedLevelsAreSubtotals="1" fieldPosition="0"/>
    </format>
    <format dxfId="102">
      <pivotArea grandRow="1" outline="0" collapsedLevelsAreSubtotals="1" fieldPosition="0"/>
    </format>
    <format dxfId="101">
      <pivotArea collapsedLevelsAreSubtotals="1" fieldPosition="0">
        <references count="1">
          <reference field="8" count="0"/>
        </references>
      </pivotArea>
    </format>
    <format dxfId="100">
      <pivotArea collapsedLevelsAreSubtotals="1" fieldPosition="0">
        <references count="1">
          <reference field="8" count="0"/>
        </references>
      </pivotArea>
    </format>
  </formats>
  <chartFormats count="8">
    <chartFormat chart="11" format="8"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8" count="1" selected="0">
            <x v="0"/>
          </reference>
        </references>
      </pivotArea>
    </chartFormat>
    <chartFormat chart="11" format="13">
      <pivotArea type="data" outline="0" fieldPosition="0">
        <references count="2">
          <reference field="4294967294" count="1" selected="0">
            <x v="0"/>
          </reference>
          <reference field="8" count="1" selected="0">
            <x v="1"/>
          </reference>
        </references>
      </pivotArea>
    </chartFormat>
    <chartFormat chart="11" format="1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3" format="7">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J5:J6" firstHeaderRow="1" firstDataRow="1" firstDataCol="0" rowPageCount="1" colPageCount="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dataField="1" showAll="0"/>
    <pivotField showAll="0"/>
    <pivotField showAll="0"/>
    <pivotField showAll="0"/>
    <pivotField showAll="0" defaultSubtotal="0"/>
    <pivotField axis="axisPage" multipleItemSelectionAllowed="1"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17" hier="-1"/>
  </pageFields>
  <dataFields count="1">
    <dataField name="OTB Revenue" fld="12" baseField="0" baseItem="0" numFmtId="164"/>
  </dataFields>
  <formats count="3">
    <format dxfId="110">
      <pivotArea outline="0" collapsedLevelsAreSubtotals="1" fieldPosition="0"/>
    </format>
    <format dxfId="109">
      <pivotArea outline="0" collapsedLevelsAreSubtotals="1" fieldPosition="0"/>
    </format>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O20:Q37" firstHeaderRow="1" firstDataRow="1" firstDataCol="0"/>
  <pivotFields count="2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5" showDrill="0" useAutoFormatting="1" itemPrintTitles="1" createdVersion="6" indent="0" outline="1" outlineData="1" multipleFieldFilters="0" chartFormat="9" rowHeaderCaption="Months">
  <location ref="F10:J31" firstHeaderRow="1" firstDataRow="2" firstDataCol="1"/>
  <pivotFields count="20">
    <pivotField dataField="1"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numFmtId="1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numFmtId="14" showAll="0" defaultSubtotal="0">
      <extLst>
        <ext xmlns:x14="http://schemas.microsoft.com/office/spreadsheetml/2009/9/main" uri="{2946ED86-A175-432a-8AC1-64E0C546D7DE}">
          <x14:pivotField fillDownLabels="1"/>
        </ext>
      </extLst>
    </pivotField>
    <pivotField numFmtId="14" showAll="0" defaultSubtotal="0">
      <extLst>
        <ext xmlns:x14="http://schemas.microsoft.com/office/spreadsheetml/2009/9/main" uri="{2946ED86-A175-432a-8AC1-64E0C546D7DE}">
          <x14:pivotField fillDownLabels="1"/>
        </ext>
      </extLst>
    </pivotField>
    <pivotField axis="axisRow"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Col" showAll="0" defaultSubtotal="0">
      <items count="3">
        <item x="0"/>
        <item x="1"/>
        <item x="2"/>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6">
        <item x="5"/>
        <item x="2"/>
        <item x="4"/>
        <item x="0"/>
        <item x="1"/>
        <item x="3"/>
      </items>
      <extLst>
        <ext xmlns:x14="http://schemas.microsoft.com/office/spreadsheetml/2009/9/main" uri="{2946ED86-A175-432a-8AC1-64E0C546D7DE}">
          <x14:pivotField fillDownLabels="1"/>
        </ext>
      </extLst>
    </pivotField>
    <pivotField showAll="0" defaultSubtotal="0">
      <items count="4">
        <item x="3"/>
        <item x="1"/>
        <item x="0"/>
        <item x="2"/>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sortType="ascending" defaultSubtotal="0">
      <items count="14">
        <item x="1"/>
        <item x="2"/>
        <item x="3"/>
        <item x="4"/>
        <item x="5"/>
        <item x="6"/>
        <item x="7"/>
        <item x="8"/>
        <item x="9"/>
        <item x="10"/>
        <item x="11"/>
        <item x="12"/>
        <item x="0"/>
        <item x="13"/>
      </items>
      <extLst>
        <ext xmlns:x14="http://schemas.microsoft.com/office/spreadsheetml/2009/9/main" uri="{2946ED86-A175-432a-8AC1-64E0C546D7DE}">
          <x14:pivotField fillDownLabels="1"/>
        </ext>
      </extLst>
    </pivotField>
  </pivotFields>
  <rowFields count="3">
    <field x="19"/>
    <field x="5"/>
    <field x="2"/>
  </rowFields>
  <rowItems count="20">
    <i>
      <x/>
    </i>
    <i r="1">
      <x/>
    </i>
    <i r="1">
      <x v="1"/>
    </i>
    <i r="1">
      <x v="2"/>
    </i>
    <i r="1">
      <x v="3"/>
    </i>
    <i r="1">
      <x v="4"/>
    </i>
    <i>
      <x v="1"/>
    </i>
    <i r="1">
      <x/>
    </i>
    <i r="1">
      <x v="1"/>
    </i>
    <i r="1">
      <x v="2"/>
    </i>
    <i r="1">
      <x v="3"/>
    </i>
    <i r="1">
      <x v="4"/>
    </i>
    <i>
      <x v="2"/>
    </i>
    <i r="1">
      <x/>
    </i>
    <i r="1">
      <x v="1"/>
    </i>
    <i r="1">
      <x v="2"/>
    </i>
    <i r="1">
      <x v="3"/>
    </i>
    <i r="1">
      <x v="4"/>
    </i>
    <i r="1">
      <x v="5"/>
    </i>
    <i t="grand">
      <x/>
    </i>
  </rowItems>
  <colFields count="1">
    <field x="8"/>
  </colFields>
  <colItems count="4">
    <i>
      <x/>
    </i>
    <i>
      <x v="1"/>
    </i>
    <i>
      <x v="2"/>
    </i>
    <i t="grand">
      <x/>
    </i>
  </colItems>
  <dataFields count="1">
    <dataField name="Count of Booking ID" fld="0" subtotal="count" showDataAs="percentOfTotal" baseField="17" baseItem="1" numFmtId="9"/>
  </dataFields>
  <formats count="63">
    <format dxfId="116">
      <pivotArea outline="0" collapsedLevelsAreSubtotals="1" fieldPosition="0"/>
    </format>
    <format dxfId="115">
      <pivotArea type="origin" dataOnly="0" labelOnly="1" outline="0" fieldPosition="0"/>
    </format>
    <format dxfId="114">
      <pivotArea outline="0" collapsedLevelsAreSubtotals="1" fieldPosition="0"/>
    </format>
    <format dxfId="113">
      <pivotArea outline="0" fieldPosition="0">
        <references count="1">
          <reference field="4294967294" count="1">
            <x v="0"/>
          </reference>
        </references>
      </pivotArea>
    </format>
    <format dxfId="112">
      <pivotArea outline="0" collapsedLevelsAreSubtotals="1" fieldPosition="0"/>
    </format>
    <format dxfId="111">
      <pivotArea outline="0" collapsedLevelsAreSubtotals="1" fieldPosition="0"/>
    </format>
    <format dxfId="56">
      <pivotArea collapsedLevelsAreSubtotals="1" fieldPosition="0">
        <references count="2">
          <reference field="5" count="1">
            <x v="0"/>
          </reference>
          <reference field="19" count="1" selected="0">
            <x v="0"/>
          </reference>
        </references>
      </pivotArea>
    </format>
    <format dxfId="55">
      <pivotArea collapsedLevelsAreSubtotals="1" fieldPosition="0">
        <references count="2">
          <reference field="5" count="1">
            <x v="1"/>
          </reference>
          <reference field="19" count="1" selected="0">
            <x v="0"/>
          </reference>
        </references>
      </pivotArea>
    </format>
    <format dxfId="54">
      <pivotArea collapsedLevelsAreSubtotals="1" fieldPosition="0">
        <references count="2">
          <reference field="5" count="1">
            <x v="2"/>
          </reference>
          <reference field="19" count="1" selected="0">
            <x v="0"/>
          </reference>
        </references>
      </pivotArea>
    </format>
    <format dxfId="53">
      <pivotArea collapsedLevelsAreSubtotals="1" fieldPosition="0">
        <references count="2">
          <reference field="5" count="1">
            <x v="3"/>
          </reference>
          <reference field="19" count="1" selected="0">
            <x v="0"/>
          </reference>
        </references>
      </pivotArea>
    </format>
    <format dxfId="52">
      <pivotArea collapsedLevelsAreSubtotals="1" fieldPosition="0">
        <references count="2">
          <reference field="5" count="1">
            <x v="4"/>
          </reference>
          <reference field="19" count="1" selected="0">
            <x v="0"/>
          </reference>
        </references>
      </pivotArea>
    </format>
    <format dxfId="51">
      <pivotArea collapsedLevelsAreSubtotals="1" fieldPosition="0">
        <references count="1">
          <reference field="19" count="1">
            <x v="1"/>
          </reference>
        </references>
      </pivotArea>
    </format>
    <format dxfId="50">
      <pivotArea collapsedLevelsAreSubtotals="1" fieldPosition="0">
        <references count="2">
          <reference field="5" count="1">
            <x v="0"/>
          </reference>
          <reference field="19" count="1" selected="0">
            <x v="1"/>
          </reference>
        </references>
      </pivotArea>
    </format>
    <format dxfId="49">
      <pivotArea collapsedLevelsAreSubtotals="1" fieldPosition="0">
        <references count="2">
          <reference field="5" count="1">
            <x v="1"/>
          </reference>
          <reference field="19" count="1" selected="0">
            <x v="1"/>
          </reference>
        </references>
      </pivotArea>
    </format>
    <format dxfId="48">
      <pivotArea collapsedLevelsAreSubtotals="1" fieldPosition="0">
        <references count="2">
          <reference field="5" count="1">
            <x v="2"/>
          </reference>
          <reference field="19" count="1" selected="0">
            <x v="1"/>
          </reference>
        </references>
      </pivotArea>
    </format>
    <format dxfId="47">
      <pivotArea collapsedLevelsAreSubtotals="1" fieldPosition="0">
        <references count="2">
          <reference field="5" count="1">
            <x v="3"/>
          </reference>
          <reference field="19" count="1" selected="0">
            <x v="1"/>
          </reference>
        </references>
      </pivotArea>
    </format>
    <format dxfId="46">
      <pivotArea collapsedLevelsAreSubtotals="1" fieldPosition="0">
        <references count="2">
          <reference field="5" count="1">
            <x v="4"/>
          </reference>
          <reference field="19" count="1" selected="0">
            <x v="1"/>
          </reference>
        </references>
      </pivotArea>
    </format>
    <format dxfId="45">
      <pivotArea collapsedLevelsAreSubtotals="1" fieldPosition="0">
        <references count="1">
          <reference field="19" count="1">
            <x v="2"/>
          </reference>
        </references>
      </pivotArea>
    </format>
    <format dxfId="44">
      <pivotArea collapsedLevelsAreSubtotals="1" fieldPosition="0">
        <references count="2">
          <reference field="5" count="1">
            <x v="0"/>
          </reference>
          <reference field="19" count="1" selected="0">
            <x v="2"/>
          </reference>
        </references>
      </pivotArea>
    </format>
    <format dxfId="43">
      <pivotArea collapsedLevelsAreSubtotals="1" fieldPosition="0">
        <references count="2">
          <reference field="5" count="1">
            <x v="1"/>
          </reference>
          <reference field="19" count="1" selected="0">
            <x v="2"/>
          </reference>
        </references>
      </pivotArea>
    </format>
    <format dxfId="42">
      <pivotArea collapsedLevelsAreSubtotals="1" fieldPosition="0">
        <references count="2">
          <reference field="5" count="1">
            <x v="2"/>
          </reference>
          <reference field="19" count="1" selected="0">
            <x v="2"/>
          </reference>
        </references>
      </pivotArea>
    </format>
    <format dxfId="41">
      <pivotArea collapsedLevelsAreSubtotals="1" fieldPosition="0">
        <references count="2">
          <reference field="5" count="1">
            <x v="3"/>
          </reference>
          <reference field="19" count="1" selected="0">
            <x v="2"/>
          </reference>
        </references>
      </pivotArea>
    </format>
    <format dxfId="40">
      <pivotArea collapsedLevelsAreSubtotals="1" fieldPosition="0">
        <references count="2">
          <reference field="5" count="1">
            <x v="4"/>
          </reference>
          <reference field="19" count="1" selected="0">
            <x v="2"/>
          </reference>
        </references>
      </pivotArea>
    </format>
    <format dxfId="39">
      <pivotArea collapsedLevelsAreSubtotals="1" fieldPosition="0">
        <references count="2">
          <reference field="5" count="1">
            <x v="5"/>
          </reference>
          <reference field="19" count="1" selected="0">
            <x v="2"/>
          </reference>
        </references>
      </pivotArea>
    </format>
    <format dxfId="38">
      <pivotArea grandRow="1" outline="0" collapsedLevelsAreSubtotals="1" fieldPosition="0"/>
    </format>
    <format dxfId="37">
      <pivotArea collapsedLevelsAreSubtotals="1" fieldPosition="0">
        <references count="2">
          <reference field="5" count="1">
            <x v="0"/>
          </reference>
          <reference field="19" count="1" selected="0">
            <x v="0"/>
          </reference>
        </references>
      </pivotArea>
    </format>
    <format dxfId="36">
      <pivotArea collapsedLevelsAreSubtotals="1" fieldPosition="0">
        <references count="2">
          <reference field="5" count="1">
            <x v="1"/>
          </reference>
          <reference field="19" count="1" selected="0">
            <x v="0"/>
          </reference>
        </references>
      </pivotArea>
    </format>
    <format dxfId="35">
      <pivotArea collapsedLevelsAreSubtotals="1" fieldPosition="0">
        <references count="2">
          <reference field="5" count="1">
            <x v="2"/>
          </reference>
          <reference field="19" count="1" selected="0">
            <x v="0"/>
          </reference>
        </references>
      </pivotArea>
    </format>
    <format dxfId="34">
      <pivotArea collapsedLevelsAreSubtotals="1" fieldPosition="0">
        <references count="2">
          <reference field="5" count="1">
            <x v="3"/>
          </reference>
          <reference field="19" count="1" selected="0">
            <x v="0"/>
          </reference>
        </references>
      </pivotArea>
    </format>
    <format dxfId="33">
      <pivotArea collapsedLevelsAreSubtotals="1" fieldPosition="0">
        <references count="2">
          <reference field="5" count="1">
            <x v="4"/>
          </reference>
          <reference field="19" count="1" selected="0">
            <x v="0"/>
          </reference>
        </references>
      </pivotArea>
    </format>
    <format dxfId="32">
      <pivotArea collapsedLevelsAreSubtotals="1" fieldPosition="0">
        <references count="1">
          <reference field="19" count="1">
            <x v="1"/>
          </reference>
        </references>
      </pivotArea>
    </format>
    <format dxfId="31">
      <pivotArea collapsedLevelsAreSubtotals="1" fieldPosition="0">
        <references count="2">
          <reference field="5" count="1">
            <x v="0"/>
          </reference>
          <reference field="19" count="1" selected="0">
            <x v="1"/>
          </reference>
        </references>
      </pivotArea>
    </format>
    <format dxfId="30">
      <pivotArea collapsedLevelsAreSubtotals="1" fieldPosition="0">
        <references count="2">
          <reference field="5" count="1">
            <x v="1"/>
          </reference>
          <reference field="19" count="1" selected="0">
            <x v="1"/>
          </reference>
        </references>
      </pivotArea>
    </format>
    <format dxfId="29">
      <pivotArea collapsedLevelsAreSubtotals="1" fieldPosition="0">
        <references count="2">
          <reference field="5" count="1">
            <x v="2"/>
          </reference>
          <reference field="19" count="1" selected="0">
            <x v="1"/>
          </reference>
        </references>
      </pivotArea>
    </format>
    <format dxfId="28">
      <pivotArea collapsedLevelsAreSubtotals="1" fieldPosition="0">
        <references count="2">
          <reference field="5" count="1">
            <x v="3"/>
          </reference>
          <reference field="19" count="1" selected="0">
            <x v="1"/>
          </reference>
        </references>
      </pivotArea>
    </format>
    <format dxfId="27">
      <pivotArea collapsedLevelsAreSubtotals="1" fieldPosition="0">
        <references count="2">
          <reference field="5" count="1">
            <x v="4"/>
          </reference>
          <reference field="19" count="1" selected="0">
            <x v="1"/>
          </reference>
        </references>
      </pivotArea>
    </format>
    <format dxfId="26">
      <pivotArea collapsedLevelsAreSubtotals="1" fieldPosition="0">
        <references count="1">
          <reference field="19" count="1">
            <x v="2"/>
          </reference>
        </references>
      </pivotArea>
    </format>
    <format dxfId="25">
      <pivotArea collapsedLevelsAreSubtotals="1" fieldPosition="0">
        <references count="2">
          <reference field="5" count="1">
            <x v="0"/>
          </reference>
          <reference field="19" count="1" selected="0">
            <x v="2"/>
          </reference>
        </references>
      </pivotArea>
    </format>
    <format dxfId="24">
      <pivotArea collapsedLevelsAreSubtotals="1" fieldPosition="0">
        <references count="2">
          <reference field="5" count="1">
            <x v="1"/>
          </reference>
          <reference field="19" count="1" selected="0">
            <x v="2"/>
          </reference>
        </references>
      </pivotArea>
    </format>
    <format dxfId="23">
      <pivotArea collapsedLevelsAreSubtotals="1" fieldPosition="0">
        <references count="2">
          <reference field="5" count="1">
            <x v="2"/>
          </reference>
          <reference field="19" count="1" selected="0">
            <x v="2"/>
          </reference>
        </references>
      </pivotArea>
    </format>
    <format dxfId="22">
      <pivotArea collapsedLevelsAreSubtotals="1" fieldPosition="0">
        <references count="2">
          <reference field="5" count="1">
            <x v="3"/>
          </reference>
          <reference field="19" count="1" selected="0">
            <x v="2"/>
          </reference>
        </references>
      </pivotArea>
    </format>
    <format dxfId="21">
      <pivotArea collapsedLevelsAreSubtotals="1" fieldPosition="0">
        <references count="2">
          <reference field="5" count="1">
            <x v="4"/>
          </reference>
          <reference field="19" count="1" selected="0">
            <x v="2"/>
          </reference>
        </references>
      </pivotArea>
    </format>
    <format dxfId="20">
      <pivotArea collapsedLevelsAreSubtotals="1" fieldPosition="0">
        <references count="2">
          <reference field="5" count="1">
            <x v="5"/>
          </reference>
          <reference field="19" count="1" selected="0">
            <x v="2"/>
          </reference>
        </references>
      </pivotArea>
    </format>
    <format dxfId="19">
      <pivotArea grandRow="1" outline="0" collapsedLevelsAreSubtotals="1" fieldPosition="0"/>
    </format>
    <format dxfId="18">
      <pivotArea collapsedLevelsAreSubtotals="1" fieldPosition="0">
        <references count="2">
          <reference field="5" count="1">
            <x v="0"/>
          </reference>
          <reference field="19" count="1" selected="0">
            <x v="0"/>
          </reference>
        </references>
      </pivotArea>
    </format>
    <format dxfId="17">
      <pivotArea collapsedLevelsAreSubtotals="1" fieldPosition="0">
        <references count="2">
          <reference field="5" count="1">
            <x v="1"/>
          </reference>
          <reference field="19" count="1" selected="0">
            <x v="0"/>
          </reference>
        </references>
      </pivotArea>
    </format>
    <format dxfId="16">
      <pivotArea collapsedLevelsAreSubtotals="1" fieldPosition="0">
        <references count="2">
          <reference field="5" count="1">
            <x v="2"/>
          </reference>
          <reference field="19" count="1" selected="0">
            <x v="0"/>
          </reference>
        </references>
      </pivotArea>
    </format>
    <format dxfId="15">
      <pivotArea collapsedLevelsAreSubtotals="1" fieldPosition="0">
        <references count="2">
          <reference field="5" count="1">
            <x v="3"/>
          </reference>
          <reference field="19" count="1" selected="0">
            <x v="0"/>
          </reference>
        </references>
      </pivotArea>
    </format>
    <format dxfId="14">
      <pivotArea collapsedLevelsAreSubtotals="1" fieldPosition="0">
        <references count="2">
          <reference field="5" count="1">
            <x v="4"/>
          </reference>
          <reference field="19" count="1" selected="0">
            <x v="0"/>
          </reference>
        </references>
      </pivotArea>
    </format>
    <format dxfId="13">
      <pivotArea collapsedLevelsAreSubtotals="1" fieldPosition="0">
        <references count="1">
          <reference field="19" count="1">
            <x v="1"/>
          </reference>
        </references>
      </pivotArea>
    </format>
    <format dxfId="12">
      <pivotArea collapsedLevelsAreSubtotals="1" fieldPosition="0">
        <references count="2">
          <reference field="5" count="1">
            <x v="0"/>
          </reference>
          <reference field="19" count="1" selected="0">
            <x v="1"/>
          </reference>
        </references>
      </pivotArea>
    </format>
    <format dxfId="11">
      <pivotArea collapsedLevelsAreSubtotals="1" fieldPosition="0">
        <references count="2">
          <reference field="5" count="1">
            <x v="1"/>
          </reference>
          <reference field="19" count="1" selected="0">
            <x v="1"/>
          </reference>
        </references>
      </pivotArea>
    </format>
    <format dxfId="10">
      <pivotArea collapsedLevelsAreSubtotals="1" fieldPosition="0">
        <references count="2">
          <reference field="5" count="1">
            <x v="2"/>
          </reference>
          <reference field="19" count="1" selected="0">
            <x v="1"/>
          </reference>
        </references>
      </pivotArea>
    </format>
    <format dxfId="9">
      <pivotArea collapsedLevelsAreSubtotals="1" fieldPosition="0">
        <references count="2">
          <reference field="5" count="1">
            <x v="3"/>
          </reference>
          <reference field="19" count="1" selected="0">
            <x v="1"/>
          </reference>
        </references>
      </pivotArea>
    </format>
    <format dxfId="8">
      <pivotArea collapsedLevelsAreSubtotals="1" fieldPosition="0">
        <references count="2">
          <reference field="5" count="1">
            <x v="4"/>
          </reference>
          <reference field="19" count="1" selected="0">
            <x v="1"/>
          </reference>
        </references>
      </pivotArea>
    </format>
    <format dxfId="7">
      <pivotArea collapsedLevelsAreSubtotals="1" fieldPosition="0">
        <references count="1">
          <reference field="19" count="1">
            <x v="2"/>
          </reference>
        </references>
      </pivotArea>
    </format>
    <format dxfId="6">
      <pivotArea collapsedLevelsAreSubtotals="1" fieldPosition="0">
        <references count="2">
          <reference field="5" count="1">
            <x v="0"/>
          </reference>
          <reference field="19" count="1" selected="0">
            <x v="2"/>
          </reference>
        </references>
      </pivotArea>
    </format>
    <format dxfId="5">
      <pivotArea collapsedLevelsAreSubtotals="1" fieldPosition="0">
        <references count="2">
          <reference field="5" count="1">
            <x v="1"/>
          </reference>
          <reference field="19" count="1" selected="0">
            <x v="2"/>
          </reference>
        </references>
      </pivotArea>
    </format>
    <format dxfId="4">
      <pivotArea collapsedLevelsAreSubtotals="1" fieldPosition="0">
        <references count="2">
          <reference field="5" count="1">
            <x v="2"/>
          </reference>
          <reference field="19" count="1" selected="0">
            <x v="2"/>
          </reference>
        </references>
      </pivotArea>
    </format>
    <format dxfId="3">
      <pivotArea collapsedLevelsAreSubtotals="1" fieldPosition="0">
        <references count="2">
          <reference field="5" count="1">
            <x v="3"/>
          </reference>
          <reference field="19" count="1" selected="0">
            <x v="2"/>
          </reference>
        </references>
      </pivotArea>
    </format>
    <format dxfId="2">
      <pivotArea collapsedLevelsAreSubtotals="1" fieldPosition="0">
        <references count="2">
          <reference field="5" count="1">
            <x v="4"/>
          </reference>
          <reference field="19" count="1" selected="0">
            <x v="2"/>
          </reference>
        </references>
      </pivotArea>
    </format>
    <format dxfId="1">
      <pivotArea collapsedLevelsAreSubtotals="1" fieldPosition="0">
        <references count="2">
          <reference field="5" count="1">
            <x v="5"/>
          </reference>
          <reference field="19" count="1" selected="0">
            <x v="2"/>
          </reference>
        </references>
      </pivotArea>
    </format>
    <format dxfId="0">
      <pivotArea grandRow="1" outline="0" collapsedLevelsAreSubtotals="1" fieldPosition="0"/>
    </format>
  </formats>
  <conditionalFormats count="1">
    <conditionalFormat priority="1">
      <pivotAreas count="18">
        <pivotArea type="data" collapsedLevelsAreSubtotals="1" fieldPosition="0">
          <references count="4">
            <reference field="4294967294" count="1" selected="0">
              <x v="0"/>
            </reference>
            <reference field="5" count="1">
              <x v="0"/>
            </reference>
            <reference field="8" count="3" selected="0">
              <x v="0"/>
              <x v="1"/>
              <x v="2"/>
            </reference>
            <reference field="19" count="1" selected="0">
              <x v="0"/>
            </reference>
          </references>
        </pivotArea>
        <pivotArea type="data" collapsedLevelsAreSubtotals="1" fieldPosition="0">
          <references count="4">
            <reference field="4294967294" count="1" selected="0">
              <x v="0"/>
            </reference>
            <reference field="5" count="1">
              <x v="1"/>
            </reference>
            <reference field="8" count="3" selected="0">
              <x v="0"/>
              <x v="1"/>
              <x v="2"/>
            </reference>
            <reference field="19" count="1" selected="0">
              <x v="0"/>
            </reference>
          </references>
        </pivotArea>
        <pivotArea type="data" collapsedLevelsAreSubtotals="1" fieldPosition="0">
          <references count="4">
            <reference field="4294967294" count="1" selected="0">
              <x v="0"/>
            </reference>
            <reference field="5" count="1">
              <x v="2"/>
            </reference>
            <reference field="8" count="3" selected="0">
              <x v="0"/>
              <x v="1"/>
              <x v="2"/>
            </reference>
            <reference field="19" count="1" selected="0">
              <x v="0"/>
            </reference>
          </references>
        </pivotArea>
        <pivotArea type="data" collapsedLevelsAreSubtotals="1" fieldPosition="0">
          <references count="4">
            <reference field="4294967294" count="1" selected="0">
              <x v="0"/>
            </reference>
            <reference field="5" count="1">
              <x v="3"/>
            </reference>
            <reference field="8" count="3" selected="0">
              <x v="0"/>
              <x v="1"/>
              <x v="2"/>
            </reference>
            <reference field="19" count="1" selected="0">
              <x v="0"/>
            </reference>
          </references>
        </pivotArea>
        <pivotArea type="data" collapsedLevelsAreSubtotals="1" fieldPosition="0">
          <references count="4">
            <reference field="4294967294" count="1" selected="0">
              <x v="0"/>
            </reference>
            <reference field="5" count="1">
              <x v="4"/>
            </reference>
            <reference field="8" count="3" selected="0">
              <x v="0"/>
              <x v="1"/>
              <x v="2"/>
            </reference>
            <reference field="19" count="1" selected="0">
              <x v="0"/>
            </reference>
          </references>
        </pivotArea>
        <pivotArea type="data" collapsedLevelsAreSubtotals="1" fieldPosition="0">
          <references count="3">
            <reference field="4294967294" count="1" selected="0">
              <x v="0"/>
            </reference>
            <reference field="8" count="3" selected="0">
              <x v="0"/>
              <x v="1"/>
              <x v="2"/>
            </reference>
            <reference field="19" count="1">
              <x v="1"/>
            </reference>
          </references>
        </pivotArea>
        <pivotArea type="data" collapsedLevelsAreSubtotals="1" fieldPosition="0">
          <references count="4">
            <reference field="4294967294" count="1" selected="0">
              <x v="0"/>
            </reference>
            <reference field="5" count="1">
              <x v="0"/>
            </reference>
            <reference field="8" count="3" selected="0">
              <x v="0"/>
              <x v="1"/>
              <x v="2"/>
            </reference>
            <reference field="19" count="1" selected="0">
              <x v="1"/>
            </reference>
          </references>
        </pivotArea>
        <pivotArea type="data" collapsedLevelsAreSubtotals="1" fieldPosition="0">
          <references count="4">
            <reference field="4294967294" count="1" selected="0">
              <x v="0"/>
            </reference>
            <reference field="5" count="1">
              <x v="1"/>
            </reference>
            <reference field="8" count="3" selected="0">
              <x v="0"/>
              <x v="1"/>
              <x v="2"/>
            </reference>
            <reference field="19" count="1" selected="0">
              <x v="1"/>
            </reference>
          </references>
        </pivotArea>
        <pivotArea type="data" collapsedLevelsAreSubtotals="1" fieldPosition="0">
          <references count="4">
            <reference field="4294967294" count="1" selected="0">
              <x v="0"/>
            </reference>
            <reference field="5" count="1">
              <x v="2"/>
            </reference>
            <reference field="8" count="3" selected="0">
              <x v="0"/>
              <x v="1"/>
              <x v="2"/>
            </reference>
            <reference field="19" count="1" selected="0">
              <x v="1"/>
            </reference>
          </references>
        </pivotArea>
        <pivotArea type="data" collapsedLevelsAreSubtotals="1" fieldPosition="0">
          <references count="4">
            <reference field="4294967294" count="1" selected="0">
              <x v="0"/>
            </reference>
            <reference field="5" count="1">
              <x v="3"/>
            </reference>
            <reference field="8" count="3" selected="0">
              <x v="0"/>
              <x v="1"/>
              <x v="2"/>
            </reference>
            <reference field="19" count="1" selected="0">
              <x v="1"/>
            </reference>
          </references>
        </pivotArea>
        <pivotArea type="data" collapsedLevelsAreSubtotals="1" fieldPosition="0">
          <references count="4">
            <reference field="4294967294" count="1" selected="0">
              <x v="0"/>
            </reference>
            <reference field="5" count="1">
              <x v="4"/>
            </reference>
            <reference field="8" count="3" selected="0">
              <x v="0"/>
              <x v="1"/>
              <x v="2"/>
            </reference>
            <reference field="19" count="1" selected="0">
              <x v="1"/>
            </reference>
          </references>
        </pivotArea>
        <pivotArea type="data" collapsedLevelsAreSubtotals="1" fieldPosition="0">
          <references count="3">
            <reference field="4294967294" count="1" selected="0">
              <x v="0"/>
            </reference>
            <reference field="8" count="3" selected="0">
              <x v="0"/>
              <x v="1"/>
              <x v="2"/>
            </reference>
            <reference field="19" count="1">
              <x v="2"/>
            </reference>
          </references>
        </pivotArea>
        <pivotArea type="data" collapsedLevelsAreSubtotals="1" fieldPosition="0">
          <references count="4">
            <reference field="4294967294" count="1" selected="0">
              <x v="0"/>
            </reference>
            <reference field="5" count="1">
              <x v="0"/>
            </reference>
            <reference field="8" count="3" selected="0">
              <x v="0"/>
              <x v="1"/>
              <x v="2"/>
            </reference>
            <reference field="19" count="1" selected="0">
              <x v="2"/>
            </reference>
          </references>
        </pivotArea>
        <pivotArea type="data" collapsedLevelsAreSubtotals="1" fieldPosition="0">
          <references count="4">
            <reference field="4294967294" count="1" selected="0">
              <x v="0"/>
            </reference>
            <reference field="5" count="1">
              <x v="1"/>
            </reference>
            <reference field="8" count="3" selected="0">
              <x v="0"/>
              <x v="1"/>
              <x v="2"/>
            </reference>
            <reference field="19" count="1" selected="0">
              <x v="2"/>
            </reference>
          </references>
        </pivotArea>
        <pivotArea type="data" collapsedLevelsAreSubtotals="1" fieldPosition="0">
          <references count="4">
            <reference field="4294967294" count="1" selected="0">
              <x v="0"/>
            </reference>
            <reference field="5" count="1">
              <x v="2"/>
            </reference>
            <reference field="8" count="3" selected="0">
              <x v="0"/>
              <x v="1"/>
              <x v="2"/>
            </reference>
            <reference field="19" count="1" selected="0">
              <x v="2"/>
            </reference>
          </references>
        </pivotArea>
        <pivotArea type="data" collapsedLevelsAreSubtotals="1" fieldPosition="0">
          <references count="4">
            <reference field="4294967294" count="1" selected="0">
              <x v="0"/>
            </reference>
            <reference field="5" count="1">
              <x v="3"/>
            </reference>
            <reference field="8" count="3" selected="0">
              <x v="0"/>
              <x v="1"/>
              <x v="2"/>
            </reference>
            <reference field="19" count="1" selected="0">
              <x v="2"/>
            </reference>
          </references>
        </pivotArea>
        <pivotArea type="data" collapsedLevelsAreSubtotals="1" fieldPosition="0">
          <references count="4">
            <reference field="4294967294" count="1" selected="0">
              <x v="0"/>
            </reference>
            <reference field="5" count="1">
              <x v="4"/>
            </reference>
            <reference field="8" count="3" selected="0">
              <x v="0"/>
              <x v="1"/>
              <x v="2"/>
            </reference>
            <reference field="19" count="1" selected="0">
              <x v="2"/>
            </reference>
          </references>
        </pivotArea>
        <pivotArea type="data" collapsedLevelsAreSubtotals="1" fieldPosition="0">
          <references count="4">
            <reference field="4294967294" count="1" selected="0">
              <x v="0"/>
            </reference>
            <reference field="5" count="1">
              <x v="5"/>
            </reference>
            <reference field="8" count="3" selected="0">
              <x v="0"/>
              <x v="1"/>
              <x v="2"/>
            </reference>
            <reference field="19" count="1" selected="0">
              <x v="2"/>
            </reference>
          </references>
        </pivotArea>
      </pivotAreas>
    </conditionalFormat>
  </conditionalFormats>
  <chartFormats count="8">
    <chartFormat chart="6" format="12" series="1">
      <pivotArea type="data" outline="0" fieldPosition="0">
        <references count="2">
          <reference field="4294967294" count="1" selected="0">
            <x v="0"/>
          </reference>
          <reference field="8" count="1" selected="0">
            <x v="0"/>
          </reference>
        </references>
      </pivotArea>
    </chartFormat>
    <chartFormat chart="6" format="13" series="1">
      <pivotArea type="data" outline="0" fieldPosition="0">
        <references count="2">
          <reference field="4294967294" count="1" selected="0">
            <x v="0"/>
          </reference>
          <reference field="8" count="1" selected="0">
            <x v="1"/>
          </reference>
        </references>
      </pivotArea>
    </chartFormat>
    <chartFormat chart="6" format="14" series="1">
      <pivotArea type="data" outline="0" fieldPosition="0">
        <references count="2">
          <reference field="4294967294" count="1" selected="0">
            <x v="0"/>
          </reference>
          <reference field="8" count="1" selected="0">
            <x v="2"/>
          </reference>
        </references>
      </pivotArea>
    </chartFormat>
    <chartFormat chart="6" format="15">
      <pivotArea type="data" outline="0" fieldPosition="0">
        <references count="4">
          <reference field="4294967294" count="1" selected="0">
            <x v="0"/>
          </reference>
          <reference field="5" count="1" selected="0">
            <x v="3"/>
          </reference>
          <reference field="8" count="1" selected="0">
            <x v="1"/>
          </reference>
          <reference field="19" count="1" selected="0">
            <x v="0"/>
          </reference>
        </references>
      </pivotArea>
    </chartFormat>
    <chartFormat chart="6" format="16"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8" count="1" selected="0">
            <x v="0"/>
          </reference>
        </references>
      </pivotArea>
    </chartFormat>
    <chartFormat chart="0" format="11" series="1">
      <pivotArea type="data" outline="0" fieldPosition="0">
        <references count="2">
          <reference field="4294967294" count="1" selected="0">
            <x v="0"/>
          </reference>
          <reference field="8" count="1" selected="0">
            <x v="1"/>
          </reference>
        </references>
      </pivotArea>
    </chartFormat>
    <chartFormat chart="0" format="1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1.xml><?xml version="1.0" encoding="utf-8"?>
<pivotTableDefinition xmlns="http://schemas.openxmlformats.org/spreadsheetml/2006/main" name="PivotTable25" cacheId="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7">
  <location ref="R91:V99" firstHeaderRow="1" firstDataRow="2" firstDataCol="1"/>
  <pivotFields count="3">
    <pivotField dataField="1" showAll="0"/>
    <pivotField axis="axisRow" allDrilled="1" showAll="0" defaultAttributeDrillState="1">
      <items count="7">
        <item x="2"/>
        <item x="4"/>
        <item x="1"/>
        <item x="3"/>
        <item x="5"/>
        <item x="0"/>
        <item t="default"/>
      </items>
    </pivotField>
    <pivotField axis="axisCol" allDrilled="1" showAll="0" dataSourceSort="1" defaultAttributeDrillState="1">
      <items count="4">
        <item x="0"/>
        <item x="1"/>
        <item x="2"/>
        <item t="default"/>
      </items>
    </pivotField>
  </pivotFields>
  <rowFields count="1">
    <field x="1"/>
  </rowFields>
  <rowItems count="7">
    <i>
      <x/>
    </i>
    <i>
      <x v="1"/>
    </i>
    <i>
      <x v="2"/>
    </i>
    <i>
      <x v="3"/>
    </i>
    <i>
      <x v="4"/>
    </i>
    <i>
      <x v="5"/>
    </i>
    <i t="grand">
      <x/>
    </i>
  </rowItems>
  <colFields count="1">
    <field x="2"/>
  </colFields>
  <colItems count="4">
    <i>
      <x/>
    </i>
    <i>
      <x v="1"/>
    </i>
    <i>
      <x v="2"/>
    </i>
    <i t="grand">
      <x/>
    </i>
  </colItems>
  <dataFields count="1">
    <dataField name="Count of Booking ID" fld="0" subtotal="count" baseField="2" baseItem="3" numFmtId="9">
      <extLst>
        <ext xmlns:x14="http://schemas.microsoft.com/office/spreadsheetml/2009/9/main" uri="{E15A36E0-9728-4e99-A89B-3F7291B0FE68}">
          <x14:dataField pivotShowAs="percentOfParentRow"/>
        </ext>
      </extLst>
    </dataField>
  </dataFields>
  <formats count="2">
    <format dxfId="118">
      <pivotArea outline="0" collapsedLevelsAreSubtotals="1" fieldPosition="0"/>
    </format>
    <format dxfId="117">
      <pivotArea outline="0" collapsedLevelsAreSubtotals="1" fieldPosition="0"/>
    </format>
  </formats>
  <chartFormats count="9">
    <chartFormat chart="1" format="27" series="1">
      <pivotArea type="data" outline="0" fieldPosition="0">
        <references count="2">
          <reference field="4294967294" count="1" selected="0">
            <x v="0"/>
          </reference>
          <reference field="2" count="1" selected="0">
            <x v="0"/>
          </reference>
        </references>
      </pivotArea>
    </chartFormat>
    <chartFormat chart="1" format="28" series="1">
      <pivotArea type="data" outline="0" fieldPosition="0">
        <references count="2">
          <reference field="4294967294" count="1" selected="0">
            <x v="0"/>
          </reference>
          <reference field="2" count="1" selected="0">
            <x v="1"/>
          </reference>
        </references>
      </pivotArea>
    </chartFormat>
    <chartFormat chart="1" format="29" series="1">
      <pivotArea type="data" outline="0" fieldPosition="0">
        <references count="2">
          <reference field="4294967294" count="1" selected="0">
            <x v="0"/>
          </reference>
          <reference field="2" count="1" selected="0">
            <x v="2"/>
          </reference>
        </references>
      </pivotArea>
    </chartFormat>
    <chartFormat chart="6" format="36" series="1">
      <pivotArea type="data" outline="0" fieldPosition="0">
        <references count="2">
          <reference field="4294967294" count="1" selected="0">
            <x v="0"/>
          </reference>
          <reference field="2" count="1" selected="0">
            <x v="0"/>
          </reference>
        </references>
      </pivotArea>
    </chartFormat>
    <chartFormat chart="6" format="37" series="1">
      <pivotArea type="data" outline="0" fieldPosition="0">
        <references count="2">
          <reference field="4294967294" count="1" selected="0">
            <x v="0"/>
          </reference>
          <reference field="2" count="1" selected="0">
            <x v="1"/>
          </reference>
        </references>
      </pivotArea>
    </chartFormat>
    <chartFormat chart="6" format="38" series="1">
      <pivotArea type="data" outline="0" fieldPosition="0">
        <references count="2">
          <reference field="4294967294" count="1" selected="0">
            <x v="0"/>
          </reference>
          <reference field="2" count="1" selected="0">
            <x v="2"/>
          </reference>
        </references>
      </pivotArea>
    </chartFormat>
    <chartFormat chart="0" format="27" series="1">
      <pivotArea type="data" outline="0" fieldPosition="0">
        <references count="2">
          <reference field="4294967294" count="1" selected="0">
            <x v="0"/>
          </reference>
          <reference field="2" count="1" selected="0">
            <x v="0"/>
          </reference>
        </references>
      </pivotArea>
    </chartFormat>
    <chartFormat chart="0" format="28" series="1">
      <pivotArea type="data" outline="0" fieldPosition="0">
        <references count="2">
          <reference field="4294967294" count="1" selected="0">
            <x v="0"/>
          </reference>
          <reference field="2" count="1" selected="0">
            <x v="1"/>
          </reference>
        </references>
      </pivotArea>
    </chartFormat>
    <chartFormat chart="0" format="29" series="1">
      <pivotArea type="data" outline="0" fieldPosition="0">
        <references count="2">
          <reference field="4294967294" count="1" selected="0">
            <x v="0"/>
          </reference>
          <reference field="2"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22.xml><?xml version="1.0" encoding="utf-8"?>
<pivotTableDefinition xmlns="http://schemas.openxmlformats.org/spreadsheetml/2006/main" name="PivotTable22" cacheId="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1">
  <location ref="F91:G98" firstHeaderRow="1" firstDataRow="1" firstDataCol="1"/>
  <pivotFields count="2">
    <pivotField axis="axisRow" allDrilled="1" showAll="0" defaultAttributeDrillState="1">
      <items count="7">
        <item x="2"/>
        <item x="4"/>
        <item x="1"/>
        <item x="3"/>
        <item x="5"/>
        <item x="0"/>
        <item t="default"/>
      </items>
    </pivotField>
    <pivotField dataField="1" showAll="0"/>
  </pivotFields>
  <rowFields count="1">
    <field x="0"/>
  </rowFields>
  <rowItems count="7">
    <i>
      <x/>
    </i>
    <i>
      <x v="1"/>
    </i>
    <i>
      <x v="2"/>
    </i>
    <i>
      <x v="3"/>
    </i>
    <i>
      <x v="4"/>
    </i>
    <i>
      <x v="5"/>
    </i>
    <i t="grand">
      <x/>
    </i>
  </rowItems>
  <colItems count="1">
    <i/>
  </colItems>
  <dataFields count="1">
    <dataField name="Distinct Count of Customer ID" fld="1" subtotal="count" showDataAs="percentOfTotal" baseField="0" baseItem="0" numFmtId="9">
      <extLst>
        <ext xmlns:x15="http://schemas.microsoft.com/office/spreadsheetml/2010/11/main" uri="{FABC7310-3BB5-11E1-824E-6D434824019B}">
          <x15:dataField isCountDistinct="1"/>
        </ext>
      </extLst>
    </dataField>
  </dataFields>
  <formats count="2">
    <format dxfId="120">
      <pivotArea outline="0" collapsedLevelsAreSubtotals="1" fieldPosition="0"/>
    </format>
    <format dxfId="119">
      <pivotArea outline="0" collapsedLevelsAreSubtotals="1" fieldPosition="0"/>
    </format>
  </formats>
  <chartFormats count="42">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0"/>
          </reference>
        </references>
      </pivotArea>
    </chartFormat>
    <chartFormat chart="4" format="18">
      <pivotArea type="data" outline="0" fieldPosition="0">
        <references count="2">
          <reference field="4294967294" count="1" selected="0">
            <x v="0"/>
          </reference>
          <reference field="0" count="1" selected="0">
            <x v="1"/>
          </reference>
        </references>
      </pivotArea>
    </chartFormat>
    <chartFormat chart="4" format="19">
      <pivotArea type="data" outline="0" fieldPosition="0">
        <references count="2">
          <reference field="4294967294" count="1" selected="0">
            <x v="0"/>
          </reference>
          <reference field="0" count="1" selected="0">
            <x v="2"/>
          </reference>
        </references>
      </pivotArea>
    </chartFormat>
    <chartFormat chart="4" format="20">
      <pivotArea type="data" outline="0" fieldPosition="0">
        <references count="2">
          <reference field="4294967294" count="1" selected="0">
            <x v="0"/>
          </reference>
          <reference field="0" count="1" selected="0">
            <x v="3"/>
          </reference>
        </references>
      </pivotArea>
    </chartFormat>
    <chartFormat chart="4" format="21">
      <pivotArea type="data" outline="0" fieldPosition="0">
        <references count="2">
          <reference field="4294967294" count="1" selected="0">
            <x v="0"/>
          </reference>
          <reference field="0" count="1" selected="0">
            <x v="4"/>
          </reference>
        </references>
      </pivotArea>
    </chartFormat>
    <chartFormat chart="4" format="22">
      <pivotArea type="data" outline="0" fieldPosition="0">
        <references count="2">
          <reference field="4294967294" count="1" selected="0">
            <x v="0"/>
          </reference>
          <reference field="0" count="1" selected="0">
            <x v="5"/>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0" count="1" selected="0">
            <x v="0"/>
          </reference>
        </references>
      </pivotArea>
    </chartFormat>
    <chartFormat chart="5" format="25">
      <pivotArea type="data" outline="0" fieldPosition="0">
        <references count="2">
          <reference field="4294967294" count="1" selected="0">
            <x v="0"/>
          </reference>
          <reference field="0" count="1" selected="0">
            <x v="1"/>
          </reference>
        </references>
      </pivotArea>
    </chartFormat>
    <chartFormat chart="5" format="26">
      <pivotArea type="data" outline="0" fieldPosition="0">
        <references count="2">
          <reference field="4294967294" count="1" selected="0">
            <x v="0"/>
          </reference>
          <reference field="0" count="1" selected="0">
            <x v="2"/>
          </reference>
        </references>
      </pivotArea>
    </chartFormat>
    <chartFormat chart="5" format="27">
      <pivotArea type="data" outline="0" fieldPosition="0">
        <references count="2">
          <reference field="4294967294" count="1" selected="0">
            <x v="0"/>
          </reference>
          <reference field="0" count="1" selected="0">
            <x v="3"/>
          </reference>
        </references>
      </pivotArea>
    </chartFormat>
    <chartFormat chart="5" format="28">
      <pivotArea type="data" outline="0" fieldPosition="0">
        <references count="2">
          <reference field="4294967294" count="1" selected="0">
            <x v="0"/>
          </reference>
          <reference field="0" count="1" selected="0">
            <x v="4"/>
          </reference>
        </references>
      </pivotArea>
    </chartFormat>
    <chartFormat chart="5" format="29">
      <pivotArea type="data" outline="0" fieldPosition="0">
        <references count="2">
          <reference field="4294967294" count="1" selected="0">
            <x v="0"/>
          </reference>
          <reference field="0" count="1" selected="0">
            <x v="5"/>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0" count="1" selected="0">
            <x v="0"/>
          </reference>
        </references>
      </pivotArea>
    </chartFormat>
    <chartFormat chart="6" format="25">
      <pivotArea type="data" outline="0" fieldPosition="0">
        <references count="2">
          <reference field="4294967294" count="1" selected="0">
            <x v="0"/>
          </reference>
          <reference field="0" count="1" selected="0">
            <x v="1"/>
          </reference>
        </references>
      </pivotArea>
    </chartFormat>
    <chartFormat chart="6" format="26">
      <pivotArea type="data" outline="0" fieldPosition="0">
        <references count="2">
          <reference field="4294967294" count="1" selected="0">
            <x v="0"/>
          </reference>
          <reference field="0" count="1" selected="0">
            <x v="2"/>
          </reference>
        </references>
      </pivotArea>
    </chartFormat>
    <chartFormat chart="6" format="27">
      <pivotArea type="data" outline="0" fieldPosition="0">
        <references count="2">
          <reference field="4294967294" count="1" selected="0">
            <x v="0"/>
          </reference>
          <reference field="0" count="1" selected="0">
            <x v="3"/>
          </reference>
        </references>
      </pivotArea>
    </chartFormat>
    <chartFormat chart="6" format="28">
      <pivotArea type="data" outline="0" fieldPosition="0">
        <references count="2">
          <reference field="4294967294" count="1" selected="0">
            <x v="0"/>
          </reference>
          <reference field="0" count="1" selected="0">
            <x v="4"/>
          </reference>
        </references>
      </pivotArea>
    </chartFormat>
    <chartFormat chart="6" format="29">
      <pivotArea type="data" outline="0" fieldPosition="0">
        <references count="2">
          <reference field="4294967294" count="1" selected="0">
            <x v="0"/>
          </reference>
          <reference field="0" count="1" selected="0">
            <x v="5"/>
          </reference>
        </references>
      </pivotArea>
    </chartFormat>
    <chartFormat chart="7" format="23" series="1">
      <pivotArea type="data" outline="0" fieldPosition="0">
        <references count="1">
          <reference field="4294967294" count="1" selected="0">
            <x v="0"/>
          </reference>
        </references>
      </pivotArea>
    </chartFormat>
    <chartFormat chart="7" format="24">
      <pivotArea type="data" outline="0" fieldPosition="0">
        <references count="2">
          <reference field="4294967294" count="1" selected="0">
            <x v="0"/>
          </reference>
          <reference field="0" count="1" selected="0">
            <x v="0"/>
          </reference>
        </references>
      </pivotArea>
    </chartFormat>
    <chartFormat chart="7" format="25">
      <pivotArea type="data" outline="0" fieldPosition="0">
        <references count="2">
          <reference field="4294967294" count="1" selected="0">
            <x v="0"/>
          </reference>
          <reference field="0" count="1" selected="0">
            <x v="1"/>
          </reference>
        </references>
      </pivotArea>
    </chartFormat>
    <chartFormat chart="7" format="26">
      <pivotArea type="data" outline="0" fieldPosition="0">
        <references count="2">
          <reference field="4294967294" count="1" selected="0">
            <x v="0"/>
          </reference>
          <reference field="0" count="1" selected="0">
            <x v="2"/>
          </reference>
        </references>
      </pivotArea>
    </chartFormat>
    <chartFormat chart="7" format="27">
      <pivotArea type="data" outline="0" fieldPosition="0">
        <references count="2">
          <reference field="4294967294" count="1" selected="0">
            <x v="0"/>
          </reference>
          <reference field="0" count="1" selected="0">
            <x v="3"/>
          </reference>
        </references>
      </pivotArea>
    </chartFormat>
    <chartFormat chart="7" format="28">
      <pivotArea type="data" outline="0" fieldPosition="0">
        <references count="2">
          <reference field="4294967294" count="1" selected="0">
            <x v="0"/>
          </reference>
          <reference field="0" count="1" selected="0">
            <x v="4"/>
          </reference>
        </references>
      </pivotArea>
    </chartFormat>
    <chartFormat chart="7" format="29">
      <pivotArea type="data" outline="0" fieldPosition="0">
        <references count="2">
          <reference field="4294967294" count="1" selected="0">
            <x v="0"/>
          </reference>
          <reference field="0" count="1" selected="0">
            <x v="5"/>
          </reference>
        </references>
      </pivotArea>
    </chartFormat>
    <chartFormat chart="10" format="30" series="1">
      <pivotArea type="data" outline="0" fieldPosition="0">
        <references count="1">
          <reference field="4294967294" count="1" selected="0">
            <x v="0"/>
          </reference>
        </references>
      </pivotArea>
    </chartFormat>
    <chartFormat chart="10" format="31">
      <pivotArea type="data" outline="0" fieldPosition="0">
        <references count="2">
          <reference field="4294967294" count="1" selected="0">
            <x v="0"/>
          </reference>
          <reference field="0" count="1" selected="0">
            <x v="5"/>
          </reference>
        </references>
      </pivotArea>
    </chartFormat>
    <chartFormat chart="10" format="32">
      <pivotArea type="data" outline="0" fieldPosition="0">
        <references count="2">
          <reference field="4294967294" count="1" selected="0">
            <x v="0"/>
          </reference>
          <reference field="0" count="1" selected="0">
            <x v="4"/>
          </reference>
        </references>
      </pivotArea>
    </chartFormat>
    <chartFormat chart="10" format="33">
      <pivotArea type="data" outline="0" fieldPosition="0">
        <references count="2">
          <reference field="4294967294" count="1" selected="0">
            <x v="0"/>
          </reference>
          <reference field="0" count="1" selected="0">
            <x v="3"/>
          </reference>
        </references>
      </pivotArea>
    </chartFormat>
    <chartFormat chart="10" format="34">
      <pivotArea type="data" outline="0" fieldPosition="0">
        <references count="2">
          <reference field="4294967294" count="1" selected="0">
            <x v="0"/>
          </reference>
          <reference field="0" count="1" selected="0">
            <x v="2"/>
          </reference>
        </references>
      </pivotArea>
    </chartFormat>
    <chartFormat chart="10" format="35">
      <pivotArea type="data" outline="0" fieldPosition="0">
        <references count="2">
          <reference field="4294967294" count="1" selected="0">
            <x v="0"/>
          </reference>
          <reference field="0" count="1" selected="0">
            <x v="1"/>
          </reference>
        </references>
      </pivotArea>
    </chartFormat>
    <chartFormat chart="10" format="36">
      <pivotArea type="data" outline="0" fieldPosition="0">
        <references count="2">
          <reference field="4294967294" count="1" selected="0">
            <x v="0"/>
          </reference>
          <reference field="0"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23.xml><?xml version="1.0" encoding="utf-8"?>
<pivotTableDefinition xmlns="http://schemas.openxmlformats.org/spreadsheetml/2006/main" name="Booking_data" cacheId="0" applyNumberFormats="0" applyBorderFormats="0" applyFontFormats="0" applyPatternFormats="0" applyAlignmentFormats="0" applyWidthHeightFormats="1" dataCaption="Values" updatedVersion="6" minRefreshableVersion="5" showDrill="0" useAutoFormatting="1" itemPrintTitles="1" createdVersion="6" indent="0" showHeaders="0" outline="1" outlineData="1" multipleFieldFilters="0" chartFormat="18">
  <location ref="B10:C14" firstHeaderRow="1" firstDataRow="1" firstDataCol="1"/>
  <pivotFields count="2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axis="axisRow"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showAll="0" defaultSubtota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Booking Channel Contribution" fld="0" subtotal="count" showDataAs="percentOfTotal" baseField="5" baseItem="0" numFmtId="9"/>
  </dataFields>
  <formats count="10">
    <format dxfId="130">
      <pivotArea dataOnly="0" labelOnly="1" outline="0" axis="axisValues" fieldPosition="0"/>
    </format>
    <format dxfId="129">
      <pivotArea dataOnly="0" labelOnly="1" outline="0" axis="axisValues" fieldPosition="0"/>
    </format>
    <format dxfId="128">
      <pivotArea collapsedLevelsAreSubtotals="1" fieldPosition="0">
        <references count="1">
          <reference field="8" count="1">
            <x v="0"/>
          </reference>
        </references>
      </pivotArea>
    </format>
    <format dxfId="127">
      <pivotArea collapsedLevelsAreSubtotals="1" fieldPosition="0">
        <references count="1">
          <reference field="8" count="1">
            <x v="1"/>
          </reference>
        </references>
      </pivotArea>
    </format>
    <format dxfId="126">
      <pivotArea collapsedLevelsAreSubtotals="1" fieldPosition="0">
        <references count="1">
          <reference field="8" count="1">
            <x v="1"/>
          </reference>
        </references>
      </pivotArea>
    </format>
    <format dxfId="125">
      <pivotArea collapsedLevelsAreSubtotals="1" fieldPosition="0">
        <references count="1">
          <reference field="8" count="1">
            <x v="1"/>
          </reference>
        </references>
      </pivotArea>
    </format>
    <format dxfId="124">
      <pivotArea collapsedLevelsAreSubtotals="1" fieldPosition="0">
        <references count="1">
          <reference field="8" count="1">
            <x v="0"/>
          </reference>
        </references>
      </pivotArea>
    </format>
    <format dxfId="123">
      <pivotArea outline="0" fieldPosition="0">
        <references count="1">
          <reference field="4294967294" count="1">
            <x v="0"/>
          </reference>
        </references>
      </pivotArea>
    </format>
    <format dxfId="122">
      <pivotArea outline="0" collapsedLevelsAreSubtotals="1" fieldPosition="0"/>
    </format>
    <format dxfId="121">
      <pivotArea outline="0" collapsedLevelsAreSubtotals="1" fieldPosition="0"/>
    </format>
  </formats>
  <chartFormats count="8">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8" count="1" selected="0">
            <x v="0"/>
          </reference>
        </references>
      </pivotArea>
    </chartFormat>
    <chartFormat chart="6" format="13">
      <pivotArea type="data" outline="0" fieldPosition="0">
        <references count="2">
          <reference field="4294967294" count="1" selected="0">
            <x v="0"/>
          </reference>
          <reference field="8" count="1" selected="0">
            <x v="1"/>
          </reference>
        </references>
      </pivotArea>
    </chartFormat>
    <chartFormat chart="6"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23" cacheId="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B91:C96"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Booking ID" fld="1" subtotal="count" showDataAs="percentOfTotal" baseField="0" baseItem="0" numFmtId="10"/>
  </dataFields>
  <formats count="2">
    <format dxfId="132">
      <pivotArea collapsedLevelsAreSubtotals="1" fieldPosition="0">
        <references count="1">
          <reference field="0" count="0"/>
        </references>
      </pivotArea>
    </format>
    <format dxfId="131">
      <pivotArea collapsedLevelsAreSubtotals="1" fieldPosition="0">
        <references count="1">
          <reference field="0" count="0"/>
        </references>
      </pivotArea>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25.xml><?xml version="1.0" encoding="utf-8"?>
<pivotTableDefinition xmlns="http://schemas.openxmlformats.org/spreadsheetml/2006/main" name="PivotTable24" cacheId="7"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3">
  <location ref="J91:O99" firstHeaderRow="1" firstDataRow="2" firstDataCol="1"/>
  <pivotFields count="3">
    <pivotField axis="axisCol" allDrilled="1" showAll="0" defaultAttributeDrillState="1">
      <items count="5">
        <item x="2"/>
        <item x="0"/>
        <item x="3"/>
        <item x="1"/>
        <item t="default"/>
      </items>
    </pivotField>
    <pivotField axis="axisRow" allDrilled="1" showAll="0" defaultAttributeDrillState="1">
      <items count="7">
        <item x="2"/>
        <item x="4"/>
        <item x="1"/>
        <item x="3"/>
        <item x="5"/>
        <item x="0"/>
        <item t="default"/>
      </items>
    </pivotField>
    <pivotField dataField="1" showAll="0"/>
  </pivotFields>
  <rowFields count="1">
    <field x="1"/>
  </rowFields>
  <rowItems count="7">
    <i>
      <x/>
    </i>
    <i>
      <x v="1"/>
    </i>
    <i>
      <x v="2"/>
    </i>
    <i>
      <x v="3"/>
    </i>
    <i>
      <x v="4"/>
    </i>
    <i>
      <x v="5"/>
    </i>
    <i t="grand">
      <x/>
    </i>
  </rowItems>
  <colFields count="1">
    <field x="0"/>
  </colFields>
  <colItems count="5">
    <i>
      <x/>
    </i>
    <i>
      <x v="1"/>
    </i>
    <i>
      <x v="2"/>
    </i>
    <i>
      <x v="3"/>
    </i>
    <i t="grand">
      <x/>
    </i>
  </colItems>
  <dataFields count="1">
    <dataField name="Count of Booking ID" fld="2" subtotal="count" baseField="0" baseItem="0" numFmtId="10">
      <extLst>
        <ext xmlns:x14="http://schemas.microsoft.com/office/spreadsheetml/2009/9/main" uri="{E15A36E0-9728-4e99-A89B-3F7291B0FE68}">
          <x14:dataField pivotShowAs="percentOfParentRow"/>
        </ext>
      </extLst>
    </dataField>
  </dataFields>
  <formats count="6">
    <format dxfId="138">
      <pivotArea collapsedLevelsAreSubtotals="1" fieldPosition="0">
        <references count="2">
          <reference field="0" count="0"/>
          <reference field="1" count="0" selected="0"/>
        </references>
      </pivotArea>
    </format>
    <format dxfId="137">
      <pivotArea collapsedLevelsAreSubtotals="1" fieldPosition="0">
        <references count="2">
          <reference field="0" count="0"/>
          <reference field="1" count="0" selected="0"/>
        </references>
      </pivotArea>
    </format>
    <format dxfId="136">
      <pivotArea field="1" grandCol="1" outline="0" collapsedLevelsAreSubtotals="1" axis="axisRow" fieldPosition="0">
        <references count="1">
          <reference field="1" count="0" selected="0"/>
        </references>
      </pivotArea>
    </format>
    <format dxfId="135">
      <pivotArea field="1" grandCol="1" outline="0" collapsedLevelsAreSubtotals="1" axis="axisRow" fieldPosition="0">
        <references count="1">
          <reference field="1" count="0" selected="0"/>
        </references>
      </pivotArea>
    </format>
    <format dxfId="134">
      <pivotArea grandCol="1" outline="0" collapsedLevelsAreSubtotals="1" fieldPosition="0"/>
    </format>
    <format dxfId="133">
      <pivotArea grandCol="1" outline="0" collapsedLevelsAreSubtotals="1" fieldPosition="0"/>
    </format>
  </formats>
  <chartFormats count="24">
    <chartFormat chart="0" format="16" series="1">
      <pivotArea type="data" outline="0" fieldPosition="0">
        <references count="2">
          <reference field="4294967294" count="1" selected="0">
            <x v="0"/>
          </reference>
          <reference field="0" count="1" selected="0">
            <x v="1"/>
          </reference>
        </references>
      </pivotArea>
    </chartFormat>
    <chartFormat chart="0" format="17" series="1">
      <pivotArea type="data" outline="0" fieldPosition="0">
        <references count="2">
          <reference field="4294967294" count="1" selected="0">
            <x v="0"/>
          </reference>
          <reference field="0" count="1" selected="0">
            <x v="3"/>
          </reference>
        </references>
      </pivotArea>
    </chartFormat>
    <chartFormat chart="0" format="18" series="1">
      <pivotArea type="data" outline="0" fieldPosition="0">
        <references count="2">
          <reference field="4294967294" count="1" selected="0">
            <x v="0"/>
          </reference>
          <reference field="0" count="1" selected="0">
            <x v="0"/>
          </reference>
        </references>
      </pivotArea>
    </chartFormat>
    <chartFormat chart="0" format="19" series="1">
      <pivotArea type="data" outline="0" fieldPosition="0">
        <references count="2">
          <reference field="4294967294" count="1" selected="0">
            <x v="0"/>
          </reference>
          <reference field="0" count="1" selected="0">
            <x v="2"/>
          </reference>
        </references>
      </pivotArea>
    </chartFormat>
    <chartFormat chart="3" format="24" series="1">
      <pivotArea type="data" outline="0" fieldPosition="0">
        <references count="2">
          <reference field="4294967294" count="1" selected="0">
            <x v="0"/>
          </reference>
          <reference field="0" count="1" selected="0">
            <x v="1"/>
          </reference>
        </references>
      </pivotArea>
    </chartFormat>
    <chartFormat chart="3" format="25" series="1">
      <pivotArea type="data" outline="0" fieldPosition="0">
        <references count="2">
          <reference field="4294967294" count="1" selected="0">
            <x v="0"/>
          </reference>
          <reference field="0" count="1" selected="0">
            <x v="3"/>
          </reference>
        </references>
      </pivotArea>
    </chartFormat>
    <chartFormat chart="3" format="26" series="1">
      <pivotArea type="data" outline="0" fieldPosition="0">
        <references count="2">
          <reference field="4294967294" count="1" selected="0">
            <x v="0"/>
          </reference>
          <reference field="0" count="1" selected="0">
            <x v="0"/>
          </reference>
        </references>
      </pivotArea>
    </chartFormat>
    <chartFormat chart="3" format="27" series="1">
      <pivotArea type="data" outline="0" fieldPosition="0">
        <references count="2">
          <reference field="4294967294" count="1" selected="0">
            <x v="0"/>
          </reference>
          <reference field="0" count="1" selected="0">
            <x v="2"/>
          </reference>
        </references>
      </pivotArea>
    </chartFormat>
    <chartFormat chart="6" format="24" series="1">
      <pivotArea type="data" outline="0" fieldPosition="0">
        <references count="2">
          <reference field="4294967294" count="1" selected="0">
            <x v="0"/>
          </reference>
          <reference field="0" count="1" selected="0">
            <x v="1"/>
          </reference>
        </references>
      </pivotArea>
    </chartFormat>
    <chartFormat chart="6" format="25" series="1">
      <pivotArea type="data" outline="0" fieldPosition="0">
        <references count="2">
          <reference field="4294967294" count="1" selected="0">
            <x v="0"/>
          </reference>
          <reference field="0" count="1" selected="0">
            <x v="3"/>
          </reference>
        </references>
      </pivotArea>
    </chartFormat>
    <chartFormat chart="6" format="26" series="1">
      <pivotArea type="data" outline="0" fieldPosition="0">
        <references count="2">
          <reference field="4294967294" count="1" selected="0">
            <x v="0"/>
          </reference>
          <reference field="0" count="1" selected="0">
            <x v="0"/>
          </reference>
        </references>
      </pivotArea>
    </chartFormat>
    <chartFormat chart="6" format="27" series="1">
      <pivotArea type="data" outline="0" fieldPosition="0">
        <references count="2">
          <reference field="4294967294" count="1" selected="0">
            <x v="0"/>
          </reference>
          <reference field="0" count="1" selected="0">
            <x v="2"/>
          </reference>
        </references>
      </pivotArea>
    </chartFormat>
    <chartFormat chart="10" format="20" series="1">
      <pivotArea type="data" outline="0" fieldPosition="0">
        <references count="2">
          <reference field="4294967294" count="1" selected="0">
            <x v="0"/>
          </reference>
          <reference field="0" count="1" selected="0">
            <x v="0"/>
          </reference>
        </references>
      </pivotArea>
    </chartFormat>
    <chartFormat chart="10" format="21" series="1">
      <pivotArea type="data" outline="0" fieldPosition="0">
        <references count="2">
          <reference field="4294967294" count="1" selected="0">
            <x v="0"/>
          </reference>
          <reference field="0" count="1" selected="0">
            <x v="1"/>
          </reference>
        </references>
      </pivotArea>
    </chartFormat>
    <chartFormat chart="10" format="22" series="1">
      <pivotArea type="data" outline="0" fieldPosition="0">
        <references count="2">
          <reference field="4294967294" count="1" selected="0">
            <x v="0"/>
          </reference>
          <reference field="0" count="1" selected="0">
            <x v="2"/>
          </reference>
        </references>
      </pivotArea>
    </chartFormat>
    <chartFormat chart="10" format="23" series="1">
      <pivotArea type="data" outline="0" fieldPosition="0">
        <references count="2">
          <reference field="4294967294" count="1" selected="0">
            <x v="0"/>
          </reference>
          <reference field="0" count="1" selected="0">
            <x v="3"/>
          </reference>
        </references>
      </pivotArea>
    </chartFormat>
    <chartFormat chart="11" format="24" series="1">
      <pivotArea type="data" outline="0" fieldPosition="0">
        <references count="2">
          <reference field="4294967294" count="1" selected="0">
            <x v="0"/>
          </reference>
          <reference field="0" count="1" selected="0">
            <x v="0"/>
          </reference>
        </references>
      </pivotArea>
    </chartFormat>
    <chartFormat chart="11" format="25" series="1">
      <pivotArea type="data" outline="0" fieldPosition="0">
        <references count="2">
          <reference field="4294967294" count="1" selected="0">
            <x v="0"/>
          </reference>
          <reference field="0" count="1" selected="0">
            <x v="1"/>
          </reference>
        </references>
      </pivotArea>
    </chartFormat>
    <chartFormat chart="11" format="26" series="1">
      <pivotArea type="data" outline="0" fieldPosition="0">
        <references count="2">
          <reference field="4294967294" count="1" selected="0">
            <x v="0"/>
          </reference>
          <reference field="0" count="1" selected="0">
            <x v="2"/>
          </reference>
        </references>
      </pivotArea>
    </chartFormat>
    <chartFormat chart="11" format="27" series="1">
      <pivotArea type="data" outline="0" fieldPosition="0">
        <references count="2">
          <reference field="4294967294" count="1" selected="0">
            <x v="0"/>
          </reference>
          <reference field="0" count="1" selected="0">
            <x v="3"/>
          </reference>
        </references>
      </pivotArea>
    </chartFormat>
    <chartFormat chart="12" format="28" series="1">
      <pivotArea type="data" outline="0" fieldPosition="0">
        <references count="2">
          <reference field="4294967294" count="1" selected="0">
            <x v="0"/>
          </reference>
          <reference field="0" count="1" selected="0">
            <x v="1"/>
          </reference>
        </references>
      </pivotArea>
    </chartFormat>
    <chartFormat chart="12" format="29" series="1">
      <pivotArea type="data" outline="0" fieldPosition="0">
        <references count="2">
          <reference field="4294967294" count="1" selected="0">
            <x v="0"/>
          </reference>
          <reference field="0" count="1" selected="0">
            <x v="0"/>
          </reference>
        </references>
      </pivotArea>
    </chartFormat>
    <chartFormat chart="12" format="30" series="1">
      <pivotArea type="data" outline="0" fieldPosition="0">
        <references count="2">
          <reference field="4294967294" count="1" selected="0">
            <x v="0"/>
          </reference>
          <reference field="0" count="1" selected="0">
            <x v="2"/>
          </reference>
        </references>
      </pivotArea>
    </chartFormat>
    <chartFormat chart="12" format="31" series="1">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2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rowHeaderCaption="Booking Channel" colHeaderCaption="">
  <location ref="O10:V14" firstHeaderRow="1" firstDataRow="2" firstDataCol="1"/>
  <pivotFields count="20">
    <pivotField dataField="1" showAll="0" defaultSubtotal="0"/>
    <pivotField showAll="0" defaultSubtotal="0"/>
    <pivotField numFmtId="1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numFmtId="14" showAll="0" defaultSubtotal="0"/>
    <pivotField numFmtId="14" showAll="0" defaultSubtotal="0"/>
    <pivotField showAll="0" defaultSubtotal="0"/>
    <pivotField axis="axisCol" showAll="0" defaultSubtotal="0">
      <items count="7">
        <item x="6"/>
        <item x="0"/>
        <item x="1"/>
        <item x="2"/>
        <item x="3"/>
        <item x="4"/>
        <item x="5"/>
      </items>
    </pivotField>
    <pivotField showAll="0" defaultSubtotal="0"/>
    <pivotField name="Booking Channel" axis="axisRow" showAll="0" defaultSubtotal="0">
      <items count="3">
        <item x="0"/>
        <item x="1"/>
        <item x="2"/>
      </items>
    </pivotField>
    <pivotField showAll="0" defaultSubtotal="0"/>
    <pivotField showAll="0" defaultSubtotal="0">
      <items count="6">
        <item x="5"/>
        <item x="2"/>
        <item x="4"/>
        <item x="0"/>
        <item x="1"/>
        <item x="3"/>
      </items>
    </pivotField>
    <pivotField showAll="0" defaultSubtotal="0">
      <items count="4">
        <item x="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3">
    <i>
      <x/>
    </i>
    <i>
      <x v="1"/>
    </i>
    <i>
      <x v="2"/>
    </i>
  </rowItems>
  <colFields count="1">
    <field x="6"/>
  </colFields>
  <colItems count="7">
    <i>
      <x/>
    </i>
    <i>
      <x v="1"/>
    </i>
    <i>
      <x v="2"/>
    </i>
    <i>
      <x v="3"/>
    </i>
    <i>
      <x v="4"/>
    </i>
    <i>
      <x v="5"/>
    </i>
    <i>
      <x v="6"/>
    </i>
  </colItems>
  <dataFields count="1">
    <dataField name="Booking Density by Channel &amp; Day of Week" fld="0" subtotal="count" showDataAs="percentOfRow" baseField="7" baseItem="1" numFmtId="9"/>
  </dataFields>
  <formats count="30">
    <format dxfId="168">
      <pivotArea outline="0" collapsedLevelsAreSubtotals="1" fieldPosition="0"/>
    </format>
    <format dxfId="167">
      <pivotArea outline="0" collapsedLevelsAreSubtotals="1" fieldPosition="0"/>
    </format>
    <format dxfId="166">
      <pivotArea type="all" dataOnly="0" outline="0" fieldPosition="0"/>
    </format>
    <format dxfId="165">
      <pivotArea type="all" dataOnly="0" outline="0" fieldPosition="0"/>
    </format>
    <format dxfId="164">
      <pivotArea type="all" dataOnly="0" outline="0" fieldPosition="0"/>
    </format>
    <format dxfId="163">
      <pivotArea type="all" dataOnly="0" outline="0" fieldPosition="0"/>
    </format>
    <format dxfId="162">
      <pivotArea type="all" dataOnly="0" outline="0" fieldPosition="0"/>
    </format>
    <format dxfId="161">
      <pivotArea type="all" dataOnly="0" outline="0" fieldPosition="0"/>
    </format>
    <format dxfId="160">
      <pivotArea type="all" dataOnly="0" outline="0" fieldPosition="0"/>
    </format>
    <format dxfId="159">
      <pivotArea outline="0" collapsedLevelsAreSubtotals="1" fieldPosition="0"/>
    </format>
    <format dxfId="158">
      <pivotArea field="8" type="button" dataOnly="0" labelOnly="1" outline="0" axis="axisRow" fieldPosition="0"/>
    </format>
    <format dxfId="157">
      <pivotArea dataOnly="0" labelOnly="1" fieldPosition="0">
        <references count="1">
          <reference field="8" count="0"/>
        </references>
      </pivotArea>
    </format>
    <format dxfId="156">
      <pivotArea dataOnly="0" labelOnly="1" fieldPosition="0">
        <references count="1">
          <reference field="6" count="0"/>
        </references>
      </pivotArea>
    </format>
    <format dxfId="155">
      <pivotArea outline="0" collapsedLevelsAreSubtotals="1" fieldPosition="0"/>
    </format>
    <format dxfId="154">
      <pivotArea field="8" type="button" dataOnly="0" labelOnly="1" outline="0" axis="axisRow" fieldPosition="0"/>
    </format>
    <format dxfId="153">
      <pivotArea dataOnly="0" labelOnly="1" fieldPosition="0">
        <references count="1">
          <reference field="8" count="0"/>
        </references>
      </pivotArea>
    </format>
    <format dxfId="152">
      <pivotArea dataOnly="0" labelOnly="1" fieldPosition="0">
        <references count="1">
          <reference field="6" count="0"/>
        </references>
      </pivotArea>
    </format>
    <format dxfId="151">
      <pivotArea type="origin" dataOnly="0" labelOnly="1" outline="0" fieldPosition="0"/>
    </format>
    <format dxfId="150">
      <pivotArea field="8" type="button" dataOnly="0" labelOnly="1" outline="0" axis="axisRow" fieldPosition="0"/>
    </format>
    <format dxfId="149">
      <pivotArea field="8" type="button" dataOnly="0" labelOnly="1" outline="0" axis="axisRow" fieldPosition="0"/>
    </format>
    <format dxfId="148">
      <pivotArea field="8" type="button" dataOnly="0" labelOnly="1" outline="0" axis="axisRow" fieldPosition="0"/>
    </format>
    <format dxfId="147">
      <pivotArea dataOnly="0" labelOnly="1" fieldPosition="0">
        <references count="1">
          <reference field="8" count="0"/>
        </references>
      </pivotArea>
    </format>
    <format dxfId="146">
      <pivotArea dataOnly="0" labelOnly="1" fieldPosition="0">
        <references count="1">
          <reference field="6" count="0"/>
        </references>
      </pivotArea>
    </format>
    <format dxfId="145">
      <pivotArea dataOnly="0" labelOnly="1" fieldPosition="0">
        <references count="1">
          <reference field="6" count="0"/>
        </references>
      </pivotArea>
    </format>
    <format dxfId="144">
      <pivotArea field="8" type="button" dataOnly="0" labelOnly="1" outline="0" axis="axisRow" fieldPosition="0"/>
    </format>
    <format dxfId="143">
      <pivotArea dataOnly="0" labelOnly="1" fieldPosition="0">
        <references count="1">
          <reference field="8" count="0"/>
        </references>
      </pivotArea>
    </format>
    <format dxfId="142">
      <pivotArea type="all" dataOnly="0" outline="0" fieldPosition="0"/>
    </format>
    <format dxfId="141">
      <pivotArea field="8" type="button" dataOnly="0" labelOnly="1" outline="0" axis="axisRow" fieldPosition="0"/>
    </format>
    <format dxfId="140">
      <pivotArea dataOnly="0" labelOnly="1" fieldPosition="0">
        <references count="1">
          <reference field="8" count="0"/>
        </references>
      </pivotArea>
    </format>
    <format dxfId="139">
      <pivotArea dataOnly="0" labelOnly="1" fieldPosition="0">
        <references count="1">
          <reference field="6" count="0"/>
        </references>
      </pivotArea>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fieldPosition="0">
          <references count="1">
            <reference field="8" count="0"/>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29" cacheId="1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2">
  <location ref="K116:M124" firstHeaderRow="0" firstDataRow="1" firstDataCol="1"/>
  <pivotFields count="4">
    <pivotField axis="axisRow" allDrilled="1" showAll="0" dataSourceSort="1" defaultAttributeDrillState="1">
      <items count="7">
        <item x="0"/>
        <item x="1"/>
        <item x="2"/>
        <item x="3"/>
        <item x="4"/>
        <item x="5"/>
        <item t="default"/>
      </items>
    </pivotField>
    <pivotField dataField="1" showAll="0"/>
    <pivotField axis="axisRow" allDrilled="1" showAll="0" dataSourceSort="1" defaultAttributeDrillState="1">
      <items count="2">
        <item s="1" x="0"/>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0"/>
  </rowFields>
  <rowItems count="8">
    <i>
      <x/>
    </i>
    <i r="1">
      <x/>
    </i>
    <i r="1">
      <x v="1"/>
    </i>
    <i r="1">
      <x v="2"/>
    </i>
    <i r="1">
      <x v="3"/>
    </i>
    <i r="1">
      <x v="4"/>
    </i>
    <i r="1">
      <x v="5"/>
    </i>
    <i t="grand">
      <x/>
    </i>
  </rowItems>
  <colFields count="1">
    <field x="-2"/>
  </colFields>
  <colItems count="2">
    <i>
      <x/>
    </i>
    <i i="1">
      <x v="1"/>
    </i>
  </colItems>
  <dataFields count="2">
    <dataField name="Sum of Booking Amount" fld="1" baseField="0" baseItem="0" numFmtId="164"/>
    <dataField name="Sum of Booking Amount2" fld="3" baseField="0" baseItem="0" numFmtId="10">
      <extLst>
        <ext xmlns:x14="http://schemas.microsoft.com/office/spreadsheetml/2009/9/main" uri="{E15A36E0-9728-4e99-A89B-3F7291B0FE68}">
          <x14:dataField pivotShowAs="percentOfRunningTotal" sourceField="1" uniqueName="[__Xl2].[Measures].[Sum of Booking Amount]"/>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7"/>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pivotTables/pivotTable28.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M5:M6" firstHeaderRow="1" firstDataRow="1" firstDataCol="0"/>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defaultSubtotal="0"/>
    <pivotField showAll="0" defaultSubtotal="0"/>
    <pivotField showAll="0" defaultSubtota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Discounted Booking Rate" fld="16" subtotal="average" baseField="0" baseItem="0" numFmtId="9"/>
  </dataFields>
  <formats count="3">
    <format dxfId="171">
      <pivotArea dataOnly="0" labelOnly="1" outline="0" axis="axisValues" fieldPosition="0"/>
    </format>
    <format dxfId="170">
      <pivotArea dataOnly="0" labelOnly="1" outline="0" axis="axisValues" fieldPosition="0"/>
    </format>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B46:C50" firstHeaderRow="1" firstDataRow="1" firstDataCol="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pivotField showAll="0"/>
    <pivotField showAll="0" defaultSubtotal="0"/>
    <pivotField axis="axisRow"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Is Discounted" fld="16" baseField="0" baseItem="0"/>
  </dataFields>
  <chartFormats count="1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8" count="1" selected="0">
            <x v="0"/>
          </reference>
        </references>
      </pivotArea>
    </chartFormat>
    <chartFormat chart="8" format="20">
      <pivotArea type="data" outline="0" fieldPosition="0">
        <references count="2">
          <reference field="4294967294" count="1" selected="0">
            <x v="0"/>
          </reference>
          <reference field="8" count="1" selected="0">
            <x v="1"/>
          </reference>
        </references>
      </pivotArea>
    </chartFormat>
    <chartFormat chart="8" format="21">
      <pivotArea type="data" outline="0" fieldPosition="0">
        <references count="2">
          <reference field="4294967294" count="1" selected="0">
            <x v="0"/>
          </reference>
          <reference field="8" count="1" selected="0">
            <x v="2"/>
          </reference>
        </references>
      </pivotArea>
    </chartFormat>
    <chartFormat chart="6" format="17">
      <pivotArea type="data" outline="0" fieldPosition="0">
        <references count="2">
          <reference field="4294967294" count="1" selected="0">
            <x v="0"/>
          </reference>
          <reference field="8" count="1" selected="0">
            <x v="2"/>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8" count="1" selected="0">
            <x v="0"/>
          </reference>
        </references>
      </pivotArea>
    </chartFormat>
    <chartFormat chart="6" format="2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M46:O53" firstHeaderRow="0" firstDataRow="1" firstDataCol="1"/>
  <pivotFields count="20">
    <pivotField dataField="1"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axis="axisRow" showAll="0">
      <items count="7">
        <item sd="0" x="0"/>
        <item sd="0" x="1"/>
        <item sd="0" x="2"/>
        <item sd="0" x="3"/>
        <item sd="0" x="4"/>
        <item sd="0" x="5"/>
        <item t="default"/>
      </items>
    </pivotField>
    <pivotField showAll="0"/>
    <pivotField showAll="0"/>
    <pivotField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dataField="1"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s>
  <rowFields count="3">
    <field x="5"/>
    <field x="19"/>
    <field x="2"/>
  </rowFields>
  <rowItems count="7">
    <i>
      <x/>
    </i>
    <i>
      <x v="1"/>
    </i>
    <i>
      <x v="2"/>
    </i>
    <i>
      <x v="3"/>
    </i>
    <i>
      <x v="4"/>
    </i>
    <i>
      <x v="5"/>
    </i>
    <i t="grand">
      <x/>
    </i>
  </rowItems>
  <colFields count="1">
    <field x="-2"/>
  </colFields>
  <colItems count="2">
    <i>
      <x/>
    </i>
    <i i="1">
      <x v="1"/>
    </i>
  </colItems>
  <dataFields count="2">
    <dataField name="Count of Booking ID" fld="0" subtotal="count" baseField="0" baseItem="0"/>
    <dataField name="Sum of Discount Applie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Y10:Z14" firstHeaderRow="1" firstDataRow="1" firstDataCol="1"/>
  <pivotFields count="2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showAll="0"/>
    <pivotField showAll="0"/>
    <pivotField showAll="0" defaultSubtotal="0"/>
    <pivotField axis="axisRow" showAll="0">
      <items count="4">
        <item x="0"/>
        <item x="1"/>
        <item x="2"/>
        <item t="default"/>
      </items>
    </pivotField>
    <pivotField showAll="0"/>
    <pivotField showAll="0">
      <items count="7">
        <item x="5"/>
        <item x="2"/>
        <item x="4"/>
        <item x="0"/>
        <item x="1"/>
        <item x="3"/>
        <item t="default"/>
      </items>
    </pivotField>
    <pivotField showAll="0">
      <items count="5">
        <item x="3"/>
        <item x="1"/>
        <item x="0"/>
        <item x="2"/>
        <item t="default"/>
      </items>
    </pivotField>
    <pivotField showAll="0"/>
    <pivotField showAll="0"/>
    <pivotField showAll="0"/>
    <pivotField showAll="0"/>
    <pivotField showAll="0"/>
    <pivotField showAll="0">
      <items count="3">
        <item x="1"/>
        <item x="0"/>
        <item t="default"/>
      </items>
    </pivotField>
    <pivotField dataField="1"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Is Cancelled" fld="18" showDataAs="percentOfTotal" baseField="7" baseItem="0" numFmtId="9"/>
  </dataFields>
  <formats count="2">
    <format dxfId="173">
      <pivotArea outline="0" collapsedLevelsAreSubtotals="1" fieldPosition="0"/>
    </format>
    <format dxfId="172">
      <pivotArea outline="0" collapsedLevelsAreSubtotals="1" fieldPosition="0"/>
    </format>
  </format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7" format="19">
      <pivotArea type="data" outline="0" fieldPosition="0">
        <references count="2">
          <reference field="4294967294" count="1" selected="0">
            <x v="0"/>
          </reference>
          <reference field="8" count="1" selected="0">
            <x v="1"/>
          </reference>
        </references>
      </pivotArea>
    </chartFormat>
    <chartFormat chart="7" format="20">
      <pivotArea type="data" outline="0" fieldPosition="0">
        <references count="2">
          <reference field="4294967294" count="1" selected="0">
            <x v="0"/>
          </reference>
          <reference field="8" count="1" selected="0">
            <x v="0"/>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B5:B6" firstHeaderRow="1" firstDataRow="1" firstDataCol="0"/>
  <pivotFields count="1">
    <pivotField dataField="1" showAll="0"/>
  </pivotFields>
  <rowItems count="1">
    <i/>
  </rowItems>
  <colItems count="1">
    <i/>
  </colItems>
  <dataFields count="1">
    <dataField name="No. Customer"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_ Marriott_Mobile_Online_Booking.xlsx!Booking_Data">
        <x15:activeTabTopLevelEntity name="[Booking_Data]"/>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ooking_Platform" sourceName="Booking Platform">
  <pivotTables>
    <pivotTable tabId="3" name="PivotTable1"/>
    <pivotTable tabId="3" name="Booking_data"/>
    <pivotTable tabId="3" name="PivotTable10"/>
    <pivotTable tabId="3" name="PivotTable11"/>
    <pivotTable tabId="3" name="PivotTable12"/>
    <pivotTable tabId="3" name="PivotTable13"/>
    <pivotTable tabId="3" name="PivotTable14"/>
    <pivotTable tabId="3" name="PivotTable15"/>
    <pivotTable tabId="3" name="PivotTable16"/>
    <pivotTable tabId="3" name="PivotTable19"/>
    <pivotTable tabId="3" name="PivotTable2"/>
    <pivotTable tabId="3" name="PivotTable20"/>
    <pivotTable tabId="3" name="PivotTable3"/>
    <pivotTable tabId="3" name="PivotTable32"/>
    <pivotTable tabId="3" name="PivotTable5"/>
    <pivotTable tabId="3" name="PivotTable6"/>
    <pivotTable tabId="3" name="PivotTable7"/>
    <pivotTable tabId="3" name="PivotTable8"/>
    <pivotTable tabId="3" name="PivotTable9"/>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1"/>
  </pivotTables>
  <data>
    <tabular pivotCacheId="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Membership_Status" sourceName="Loyalty Membership Status">
  <pivotTables>
    <pivotTable tabId="3" name="PivotTable3"/>
    <pivotTable tabId="3" name="Booking_data"/>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9"/>
    <pivotTable tabId="3" name="PivotTable2"/>
    <pivotTable tabId="3" name="PivotTable20"/>
    <pivotTable tabId="3" name="PivotTable32"/>
    <pivotTable tabId="3" name="PivotTable5"/>
    <pivotTable tabId="3" name="PivotTable6"/>
    <pivotTable tabId="3" name="PivotTable7"/>
    <pivotTable tabId="3" name="PivotTable8"/>
    <pivotTable tabId="3" name="PivotTable9"/>
  </pivotTables>
  <data>
    <tabular pivotCacheId="1">
      <items count="6">
        <i x="5" s="1"/>
        <i x="2" s="1"/>
        <i x="4"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oom_Type" sourceName="Room Type">
  <pivotTables>
    <pivotTable tabId="3" name="PivotTable3"/>
    <pivotTable tabId="3" name="Booking_data"/>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9"/>
    <pivotTable tabId="3" name="PivotTable2"/>
    <pivotTable tabId="3" name="PivotTable20"/>
    <pivotTable tabId="3" name="PivotTable32"/>
    <pivotTable tabId="3" name="PivotTable5"/>
    <pivotTable tabId="3" name="PivotTable6"/>
    <pivotTable tabId="3" name="PivotTable7"/>
    <pivotTable tabId="3" name="PivotTable8"/>
    <pivotTable tabId="3" name="PivotTable9"/>
  </pivotTables>
  <data>
    <tabular pivotCacheId="1">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ncellation_Status" sourceName="Cancellation Status">
  <pivotTables>
    <pivotTable tabId="3" name="PivotTable3"/>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ooking Platform 1" cache="Slicer_Booking_Platform" caption="Booking Platform" style="Slicer Style 8" rowHeight="241300"/>
  <slicer name="Loyalty Membership Status 1" cache="Slicer_Loyalty_Membership_Status" caption="Loyalty" style="Slicer Style 8" rowHeight="241300"/>
  <slicer name="Room Type 1" cache="Slicer_Room_Type" caption="Room Type" style="Slicer Style 8" rowHeight="241300"/>
  <slicer name="Cancellation Status 1" cache="Slicer_Cancellation_Status" caption="Cancellation Status" style="Slicer Style 8"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Booking Platform 2" cache="Slicer_Booking_Platform" caption="Booking Platform" style="Slicer Style 8" rowHeight="241300"/>
  <slicer name="Loyalty Membership Status 2" cache="Slicer_Loyalty_Membership_Status" caption="Loyalty" style="Slicer Style 8" rowHeight="241300"/>
  <slicer name="Room Type 2" cache="Slicer_Room_Type" caption="Room Type" style="Slicer Style 8" rowHeight="241300"/>
  <slicer name="Cancellation Status 2" cache="Slicer_Cancellation_Status" caption="Cancellation Status" style="Slicer Style 8"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Booking Platform 3" cache="Slicer_Booking_Platform" caption="Booking Platform" style="Slicer Style 8" rowHeight="241300"/>
  <slicer name="Loyalty Membership Status 3" cache="Slicer_Loyalty_Membership_Status" caption="Loyalty" style="Slicer Style 8" rowHeight="241300"/>
  <slicer name="Room Type 3" cache="Slicer_Room_Type" caption="Room Type" style="Slicer Style 8" rowHeight="241300"/>
  <slicer name="Cancellation Status 3" cache="Slicer_Cancellation_Status" caption="Cancellation Status" style="Slicer Style 8"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Booking Platform" cache="Slicer_Booking_Platform" caption="Booking Platform" rowHeight="241300"/>
  <slicer name="Payment Method" cache="Slicer_Payment_Method" caption="Payment Method" rowHeight="241300"/>
  <slicer name="Loyalty Membership Status" cache="Slicer_Loyalty_Membership_Status" caption="Loyalty Membership Status" rowHeight="241300"/>
  <slicer name="Room Type" cache="Slicer_Room_Type" caption="Room Type" rowHeight="241300"/>
  <slicer name="Cancellation Status" cache="Slicer_Cancellation_Status" caption="Cancellation Status" rowHeight="241300"/>
</slicers>
</file>

<file path=xl/tables/table1.xml><?xml version="1.0" encoding="utf-8"?>
<table xmlns="http://schemas.openxmlformats.org/spreadsheetml/2006/main" id="1" name="Booking_Data" displayName="Booking_Data" ref="A1:S501" totalsRowShown="0">
  <autoFilter ref="A1:S501"/>
  <tableColumns count="19">
    <tableColumn id="1" name="Booking ID"/>
    <tableColumn id="2" name="Customer ID"/>
    <tableColumn id="3" name="Booking Date" dataDxfId="64"/>
    <tableColumn id="4" name="Check-in Date" dataDxfId="63"/>
    <tableColumn id="5" name="Check-out Date" dataDxfId="62"/>
    <tableColumn id="18" name="Week of Month" dataDxfId="61">
      <calculatedColumnFormula>WEEKNUM(C2) - WEEKNUM(DATE(YEAR(C2), MONTH(C2), 1)) + 1</calculatedColumnFormula>
    </tableColumn>
    <tableColumn id="19" name="Day of Week" dataDxfId="60">
      <calculatedColumnFormula>TEXT(C2,"dddd")</calculatedColumnFormula>
    </tableColumn>
    <tableColumn id="21" name="Name of Month" dataDxfId="59">
      <calculatedColumnFormula>TEXT(C2, "mmmm")</calculatedColumnFormula>
    </tableColumn>
    <tableColumn id="6" name="Booking Platform"/>
    <tableColumn id="7" name="Payment Method"/>
    <tableColumn id="8" name="Loyalty Membership Status"/>
    <tableColumn id="9" name="Room Type"/>
    <tableColumn id="10" name="Booking Amount"/>
    <tableColumn id="11" name="Lenght Of Stays (LOS)">
      <calculatedColumnFormula>_xlfn.DAYS(E2,D2)</calculatedColumnFormula>
    </tableColumn>
    <tableColumn id="12" name="Discount Applied"/>
    <tableColumn id="13" name="Discounted Booking">
      <calculatedColumnFormula>IF(O2&gt;0, "Yes","No")</calculatedColumnFormula>
    </tableColumn>
    <tableColumn id="16" name="Is Discounted" dataDxfId="58">
      <calculatedColumnFormula>IF(Booking_Data[[#This Row],[Discounted Booking]]="Yes",1,0)</calculatedColumnFormula>
    </tableColumn>
    <tableColumn id="14" name="Cancellation Status"/>
    <tableColumn id="15" name="Is Cancelled" dataDxfId="57">
      <calculatedColumnFormula>IF(Booking_Data[[#This Row],[Cancellation Status]]="yes",1,0)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Booking_Date" sourceName="Booking Date">
  <pivotTables>
    <pivotTable tabId="3" name="PivotTable3"/>
    <pivotTable tabId="3" name="Booking_data"/>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9"/>
    <pivotTable tabId="3" name="PivotTable2"/>
    <pivotTable tabId="3" name="PivotTable20"/>
    <pivotTable tabId="3" name="PivotTable32"/>
    <pivotTable tabId="3" name="PivotTable5"/>
    <pivotTable tabId="3" name="PivotTable6"/>
    <pivotTable tabId="3" name="PivotTable7"/>
    <pivotTable tabId="3" name="PivotTable8"/>
    <pivotTable tabId="3" name="PivotTable9"/>
  </pivotTables>
  <state minimalRefreshVersion="6" lastRefreshVersion="6" pivotCacheId="1"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name="Timeline_Booking_Date" sourceName="[Booking_Data].[Booking Date]">
  <pivotTables>
    <pivotTable tabId="3" name="PivotTable25"/>
    <pivotTable tabId="3" name="PivotTable17"/>
    <pivotTable tabId="3" name="PivotTable18"/>
    <pivotTable tabId="3" name="PivotTable21"/>
    <pivotTable tabId="3" name="PivotTable22"/>
    <pivotTable tabId="3" name="PivotTable23"/>
    <pivotTable tabId="3" name="PivotTable24"/>
    <pivotTable tabId="3" name="PivotTable26"/>
    <pivotTable tabId="3" name="PivotTable27"/>
    <pivotTable tabId="3" name="PivotTable28"/>
    <pivotTable tabId="3" name="PivotTable29"/>
    <pivotTable tabId="3" name="PivotTable31"/>
    <pivotTable tabId="3" name="PivotTable4"/>
  </pivotTables>
  <state minimalRefreshVersion="6" lastRefreshVersion="6" pivotCacheId="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Booking Date" cache="NativeTimeline_Booking_Date" caption="Booking Date" showHorizontalScrollbar="0" level="2" selectionLevel="2" scrollPosition="2024-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Booking Date 1" cache="NativeTimeline_Booking_Date" caption="Booking Date" showHorizontalScrollbar="0" level="2" selectionLevel="2" scrollPosition="2024-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Booking Date 4" cache="Timeline_Booking_Date" caption="Booking Date" showHorizontalScrollbar="0" level="2" selectionLevel="2" scrollPosition="2024-01-01T00:00:00" style="Timeline Style 1"/>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Booking Date 3" cache="Timeline_Booking_Date" caption="Booking Date"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drawing" Target="../drawings/drawing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rinterSettings" Target="../printerSettings/printerSettings4.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microsoft.com/office/2011/relationships/timeline" Target="../timelines/timeline4.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microsoft.com/office/2007/relationships/slicer" Target="../slicers/slicer4.xml"/><Relationship Id="rId8"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22:AG31"/>
  <sheetViews>
    <sheetView showGridLines="0" zoomScale="60" zoomScaleNormal="60" workbookViewId="0">
      <selection activeCell="AE29" sqref="AE29"/>
    </sheetView>
  </sheetViews>
  <sheetFormatPr defaultRowHeight="14.5" x14ac:dyDescent="0.35"/>
  <cols>
    <col min="1" max="25" width="8.7265625" style="24"/>
    <col min="26" max="26" width="8.7265625" style="24" customWidth="1"/>
    <col min="27" max="16384" width="8.7265625" style="24"/>
  </cols>
  <sheetData>
    <row r="22" spans="18:33" ht="16.5" x14ac:dyDescent="0.45">
      <c r="AG22" s="35"/>
    </row>
    <row r="24" spans="18:33" x14ac:dyDescent="0.35">
      <c r="R24" s="34"/>
      <c r="S24" s="34"/>
      <c r="T24" s="34"/>
      <c r="U24" s="34"/>
      <c r="V24" s="34"/>
      <c r="W24" s="34"/>
      <c r="X24" s="34"/>
      <c r="Y24" s="34"/>
      <c r="Z24" s="34"/>
    </row>
    <row r="25" spans="18:33" x14ac:dyDescent="0.35">
      <c r="R25" s="34"/>
      <c r="S25" s="34"/>
      <c r="T25" s="34"/>
      <c r="U25" s="34"/>
      <c r="V25" s="34"/>
      <c r="W25" s="34"/>
      <c r="X25" s="34"/>
      <c r="Y25" s="34"/>
      <c r="Z25" s="34"/>
    </row>
    <row r="26" spans="18:33" x14ac:dyDescent="0.35">
      <c r="R26" s="34"/>
      <c r="S26" s="34"/>
      <c r="T26" s="34"/>
      <c r="U26" s="34"/>
      <c r="V26" s="34"/>
      <c r="W26" s="34"/>
      <c r="X26" s="34"/>
      <c r="Y26" s="34"/>
      <c r="Z26" s="34"/>
    </row>
    <row r="27" spans="18:33" x14ac:dyDescent="0.35">
      <c r="R27" s="34"/>
      <c r="S27" s="34"/>
      <c r="T27" s="34"/>
      <c r="U27" s="34"/>
      <c r="V27" s="34"/>
      <c r="W27" s="34"/>
      <c r="X27" s="34"/>
      <c r="Y27" s="34"/>
      <c r="Z27" s="34"/>
    </row>
    <row r="28" spans="18:33" x14ac:dyDescent="0.35">
      <c r="R28" s="34"/>
      <c r="S28" s="34"/>
      <c r="T28" s="34"/>
      <c r="U28" s="34"/>
      <c r="V28" s="34"/>
      <c r="W28" s="34"/>
      <c r="X28" s="34"/>
      <c r="Y28" s="34"/>
      <c r="Z28" s="34"/>
    </row>
    <row r="29" spans="18:33" x14ac:dyDescent="0.35">
      <c r="R29" s="34"/>
      <c r="S29" s="34"/>
      <c r="T29" s="34"/>
      <c r="U29" s="34"/>
      <c r="V29" s="34"/>
      <c r="W29" s="34"/>
      <c r="X29" s="34"/>
      <c r="Y29" s="34"/>
      <c r="Z29" s="34"/>
    </row>
    <row r="30" spans="18:33" x14ac:dyDescent="0.35">
      <c r="R30" s="34"/>
      <c r="S30" s="34"/>
      <c r="T30" s="34"/>
      <c r="U30" s="34"/>
      <c r="V30" s="34"/>
      <c r="W30" s="34"/>
      <c r="X30" s="34"/>
      <c r="Y30" s="34"/>
      <c r="Z30" s="34"/>
    </row>
    <row r="31" spans="18:33" x14ac:dyDescent="0.35">
      <c r="R31" s="34"/>
      <c r="S31" s="34"/>
      <c r="T31" s="34"/>
      <c r="U31" s="34"/>
      <c r="V31" s="34"/>
      <c r="W31" s="34"/>
      <c r="X31" s="34"/>
      <c r="Y31" s="34"/>
      <c r="Z31" s="34"/>
    </row>
  </sheetData>
  <sheetProtection sheet="1" objects="1" scenario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24:Z31"/>
  <sheetViews>
    <sheetView showGridLines="0" tabSelected="1" zoomScale="60" zoomScaleNormal="60" workbookViewId="0">
      <selection activeCell="AF21" sqref="A1:XFD1048576"/>
    </sheetView>
  </sheetViews>
  <sheetFormatPr defaultRowHeight="14.5" x14ac:dyDescent="0.35"/>
  <cols>
    <col min="1" max="1" width="9.453125" style="24" customWidth="1"/>
    <col min="2" max="16384" width="8.7265625" style="24"/>
  </cols>
  <sheetData>
    <row r="24" spans="18:26" x14ac:dyDescent="0.35">
      <c r="R24" s="34"/>
      <c r="S24" s="34"/>
      <c r="T24" s="34"/>
      <c r="U24" s="34"/>
      <c r="V24" s="34"/>
      <c r="W24" s="34"/>
      <c r="X24" s="34"/>
      <c r="Y24" s="34"/>
      <c r="Z24" s="34"/>
    </row>
    <row r="25" spans="18:26" x14ac:dyDescent="0.35">
      <c r="R25" s="34"/>
      <c r="S25" s="34"/>
      <c r="T25" s="34"/>
      <c r="U25" s="34"/>
      <c r="V25" s="34"/>
      <c r="W25" s="34"/>
      <c r="X25" s="34"/>
      <c r="Y25" s="34"/>
      <c r="Z25" s="34"/>
    </row>
    <row r="26" spans="18:26" x14ac:dyDescent="0.35">
      <c r="R26" s="34"/>
      <c r="S26" s="34"/>
      <c r="T26" s="34"/>
      <c r="U26" s="34"/>
      <c r="V26" s="34"/>
      <c r="W26" s="34"/>
      <c r="X26" s="34"/>
      <c r="Y26" s="34"/>
      <c r="Z26" s="34"/>
    </row>
    <row r="27" spans="18:26" x14ac:dyDescent="0.35">
      <c r="R27" s="34"/>
      <c r="S27" s="34"/>
      <c r="T27" s="34"/>
      <c r="U27" s="34"/>
      <c r="V27" s="34"/>
      <c r="W27" s="34"/>
      <c r="X27" s="34"/>
      <c r="Y27" s="34"/>
      <c r="Z27" s="34"/>
    </row>
    <row r="28" spans="18:26" x14ac:dyDescent="0.35">
      <c r="R28" s="34"/>
      <c r="S28" s="34"/>
      <c r="T28" s="34"/>
      <c r="U28" s="34"/>
      <c r="V28" s="34"/>
      <c r="W28" s="34"/>
      <c r="X28" s="34"/>
      <c r="Y28" s="34"/>
      <c r="Z28" s="34"/>
    </row>
    <row r="29" spans="18:26" x14ac:dyDescent="0.35">
      <c r="R29" s="34"/>
      <c r="S29" s="34"/>
      <c r="T29" s="34"/>
      <c r="U29" s="34"/>
      <c r="V29" s="34"/>
      <c r="W29" s="34"/>
      <c r="X29" s="34"/>
      <c r="Y29" s="34"/>
      <c r="Z29" s="34"/>
    </row>
    <row r="30" spans="18:26" x14ac:dyDescent="0.35">
      <c r="R30" s="34"/>
      <c r="S30" s="34"/>
      <c r="T30" s="34"/>
      <c r="U30" s="34"/>
      <c r="V30" s="34"/>
      <c r="W30" s="34"/>
      <c r="X30" s="34"/>
      <c r="Y30" s="34"/>
      <c r="Z30" s="34"/>
    </row>
    <row r="31" spans="18:26" x14ac:dyDescent="0.35">
      <c r="R31" s="34"/>
      <c r="S31" s="34"/>
      <c r="T31" s="34"/>
      <c r="U31" s="34"/>
      <c r="V31" s="34"/>
      <c r="W31" s="34"/>
      <c r="X31" s="34"/>
      <c r="Y31" s="34"/>
      <c r="Z31" s="34"/>
    </row>
  </sheetData>
  <sheetProtection sheet="1" objects="1" scenario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24:Z31"/>
  <sheetViews>
    <sheetView showGridLines="0" zoomScale="60" zoomScaleNormal="60" workbookViewId="0">
      <selection activeCell="AE27" sqref="AE27"/>
    </sheetView>
  </sheetViews>
  <sheetFormatPr defaultRowHeight="14.5" x14ac:dyDescent="0.35"/>
  <cols>
    <col min="1" max="1" width="9.453125" style="24" customWidth="1"/>
    <col min="2" max="16384" width="8.7265625" style="24"/>
  </cols>
  <sheetData>
    <row r="24" spans="18:26" x14ac:dyDescent="0.35">
      <c r="R24" s="34"/>
      <c r="S24" s="34"/>
      <c r="T24" s="34"/>
      <c r="U24" s="34"/>
      <c r="V24" s="34"/>
      <c r="W24" s="34"/>
      <c r="X24" s="34"/>
      <c r="Y24" s="34"/>
      <c r="Z24" s="34"/>
    </row>
    <row r="25" spans="18:26" x14ac:dyDescent="0.35">
      <c r="R25" s="34"/>
      <c r="S25" s="34"/>
      <c r="T25" s="34"/>
      <c r="U25" s="34"/>
      <c r="V25" s="34"/>
      <c r="W25" s="34"/>
      <c r="X25" s="34"/>
      <c r="Y25" s="34"/>
      <c r="Z25" s="34"/>
    </row>
    <row r="26" spans="18:26" x14ac:dyDescent="0.35">
      <c r="R26" s="34"/>
      <c r="S26" s="34"/>
      <c r="T26" s="34"/>
      <c r="U26" s="34"/>
      <c r="V26" s="34"/>
      <c r="W26" s="34"/>
      <c r="X26" s="34"/>
      <c r="Y26" s="34"/>
      <c r="Z26" s="34"/>
    </row>
    <row r="27" spans="18:26" x14ac:dyDescent="0.35">
      <c r="R27" s="34"/>
      <c r="S27" s="34"/>
      <c r="T27" s="34"/>
      <c r="U27" s="34"/>
      <c r="V27" s="34"/>
      <c r="W27" s="34"/>
      <c r="X27" s="34"/>
      <c r="Y27" s="34"/>
      <c r="Z27" s="34"/>
    </row>
    <row r="28" spans="18:26" x14ac:dyDescent="0.35">
      <c r="R28" s="34"/>
      <c r="S28" s="34"/>
      <c r="T28" s="34"/>
      <c r="U28" s="34"/>
      <c r="V28" s="34"/>
      <c r="W28" s="34"/>
      <c r="X28" s="34"/>
      <c r="Y28" s="34"/>
      <c r="Z28" s="34"/>
    </row>
    <row r="29" spans="18:26" x14ac:dyDescent="0.35">
      <c r="R29" s="34"/>
      <c r="S29" s="34"/>
      <c r="T29" s="34"/>
      <c r="U29" s="34"/>
      <c r="V29" s="34"/>
      <c r="W29" s="34"/>
      <c r="X29" s="34"/>
      <c r="Y29" s="34"/>
      <c r="Z29" s="34"/>
    </row>
    <row r="30" spans="18:26" x14ac:dyDescent="0.35">
      <c r="R30" s="34"/>
      <c r="S30" s="34"/>
      <c r="T30" s="34"/>
      <c r="U30" s="34"/>
      <c r="V30" s="34"/>
      <c r="W30" s="34"/>
      <c r="X30" s="34"/>
      <c r="Y30" s="34"/>
      <c r="Z30" s="34"/>
    </row>
    <row r="31" spans="18:26" x14ac:dyDescent="0.35">
      <c r="R31" s="34"/>
      <c r="S31" s="34"/>
      <c r="T31" s="34"/>
      <c r="U31" s="34"/>
      <c r="V31" s="34"/>
      <c r="W31" s="34"/>
      <c r="X31" s="34"/>
      <c r="Y31" s="34"/>
      <c r="Z31" s="34"/>
    </row>
  </sheetData>
  <sheetProtection sheet="1" objects="1" scenario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26"/>
  <sheetViews>
    <sheetView topLeftCell="C6" zoomScale="72" zoomScaleNormal="100" workbookViewId="0">
      <selection activeCell="K18" sqref="K18"/>
    </sheetView>
  </sheetViews>
  <sheetFormatPr defaultRowHeight="14.5" x14ac:dyDescent="0.35"/>
  <cols>
    <col min="2" max="2" width="14.1796875" customWidth="1"/>
    <col min="3" max="3" width="12.81640625" customWidth="1"/>
    <col min="4" max="4" width="16.7265625" customWidth="1"/>
    <col min="5" max="5" width="7.453125" customWidth="1"/>
    <col min="6" max="6" width="16.7265625" customWidth="1"/>
    <col min="7" max="7" width="7.453125" customWidth="1"/>
    <col min="8" max="8" width="17.26953125" customWidth="1"/>
    <col min="9" max="9" width="7.453125" customWidth="1"/>
    <col min="10" max="10" width="16.7265625" customWidth="1"/>
    <col min="11" max="11" width="7.453125" customWidth="1"/>
    <col min="12" max="12" width="22.26953125" customWidth="1"/>
    <col min="13" max="13" width="13.6328125" customWidth="1"/>
    <col min="14" max="14" width="18.36328125" customWidth="1"/>
    <col min="15" max="15" width="55.26953125" customWidth="1"/>
    <col min="16" max="16" width="8.1796875" customWidth="1"/>
    <col min="17" max="18" width="9" customWidth="1"/>
    <col min="19" max="19" width="12.26953125" customWidth="1"/>
    <col min="20" max="20" width="9.81640625" customWidth="1"/>
    <col min="21" max="21" width="6.81640625" customWidth="1"/>
    <col min="22" max="22" width="9.54296875" customWidth="1"/>
    <col min="23" max="23" width="24.81640625" customWidth="1"/>
    <col min="24" max="24" width="10.7265625" customWidth="1"/>
    <col min="25" max="25" width="13.6328125" customWidth="1"/>
    <col min="26" max="26" width="22.453125" customWidth="1"/>
    <col min="27" max="27" width="22.54296875" customWidth="1"/>
    <col min="28" max="28" width="15.81640625" customWidth="1"/>
    <col min="29" max="29" width="20.26953125" customWidth="1"/>
    <col min="30" max="30" width="29.36328125" customWidth="1"/>
    <col min="31" max="31" width="30.26953125" customWidth="1"/>
    <col min="32" max="32" width="10.7265625" customWidth="1"/>
    <col min="33" max="34" width="6.81640625" customWidth="1"/>
    <col min="35" max="35" width="18.81640625" customWidth="1"/>
    <col min="36" max="36" width="30.26953125" customWidth="1"/>
    <col min="37" max="37" width="27.54296875" customWidth="1"/>
    <col min="38" max="38" width="10.6328125" customWidth="1"/>
    <col min="39" max="39" width="15" customWidth="1"/>
    <col min="40" max="40" width="25.7265625" customWidth="1"/>
    <col min="41" max="41" width="15" customWidth="1"/>
    <col min="42" max="44" width="6.81640625" customWidth="1"/>
    <col min="45" max="45" width="5.81640625" customWidth="1"/>
    <col min="46" max="50" width="6.81640625" customWidth="1"/>
    <col min="51" max="51" width="5.81640625" customWidth="1"/>
    <col min="52" max="72" width="6.81640625" customWidth="1"/>
    <col min="73" max="73" width="5.81640625" customWidth="1"/>
    <col min="74" max="79" width="6.81640625" customWidth="1"/>
    <col min="80" max="80" width="5.81640625" customWidth="1"/>
    <col min="81" max="81" width="6.81640625" customWidth="1"/>
    <col min="82" max="82" width="5.81640625" customWidth="1"/>
    <col min="83" max="93" width="6.81640625" customWidth="1"/>
    <col min="94" max="94" width="5.81640625" customWidth="1"/>
    <col min="95" max="99" width="6.81640625" customWidth="1"/>
    <col min="100" max="100" width="5.81640625" customWidth="1"/>
    <col min="101" max="105" width="6.81640625" customWidth="1"/>
    <col min="106" max="106" width="5.81640625" customWidth="1"/>
    <col min="107" max="115" width="6.81640625" customWidth="1"/>
    <col min="116" max="116" width="3.81640625" customWidth="1"/>
    <col min="117" max="122" width="6.81640625" customWidth="1"/>
    <col min="123" max="123" width="3.81640625" customWidth="1"/>
    <col min="124" max="144" width="6.81640625" customWidth="1"/>
    <col min="145" max="145" width="5.81640625" customWidth="1"/>
    <col min="146" max="149" width="6.81640625" customWidth="1"/>
    <col min="150" max="151" width="5.81640625" customWidth="1"/>
    <col min="152" max="152" width="6.81640625" customWidth="1"/>
    <col min="153" max="153" width="5.81640625" customWidth="1"/>
    <col min="154" max="159" width="6.81640625" customWidth="1"/>
    <col min="160" max="160" width="5.81640625" customWidth="1"/>
    <col min="161" max="180" width="6.81640625" customWidth="1"/>
    <col min="181" max="181" width="5.81640625" customWidth="1"/>
    <col min="182" max="186" width="6.81640625" customWidth="1"/>
    <col min="187" max="188" width="5.81640625" customWidth="1"/>
    <col min="189" max="190" width="6.81640625" customWidth="1"/>
    <col min="191" max="191" width="5.81640625" customWidth="1"/>
    <col min="192" max="200" width="6.81640625" customWidth="1"/>
    <col min="201" max="201" width="5.81640625" customWidth="1"/>
    <col min="202" max="202" width="6.81640625" customWidth="1"/>
    <col min="203" max="203" width="5.81640625" customWidth="1"/>
    <col min="204" max="217" width="6.81640625" customWidth="1"/>
    <col min="218" max="218" width="5.81640625" customWidth="1"/>
    <col min="219" max="241" width="6.81640625" customWidth="1"/>
    <col min="242" max="242" width="5.81640625" customWidth="1"/>
    <col min="243" max="260" width="6.81640625" customWidth="1"/>
    <col min="261" max="261" width="5.81640625" customWidth="1"/>
    <col min="262" max="279" width="6.81640625" customWidth="1"/>
    <col min="280" max="280" width="5.81640625" customWidth="1"/>
    <col min="281" max="281" width="3.81640625" customWidth="1"/>
    <col min="282" max="297" width="6.81640625" customWidth="1"/>
    <col min="298" max="299" width="5.81640625" customWidth="1"/>
    <col min="300" max="305" width="6.81640625" customWidth="1"/>
    <col min="306" max="306" width="5.81640625" customWidth="1"/>
    <col min="307" max="325" width="6.81640625" customWidth="1"/>
    <col min="326" max="326" width="5.81640625" customWidth="1"/>
    <col min="327" max="329" width="6.81640625" customWidth="1"/>
    <col min="330" max="330" width="5.81640625" customWidth="1"/>
    <col min="331" max="332" width="6.81640625" customWidth="1"/>
    <col min="333" max="340" width="7.81640625" customWidth="1"/>
    <col min="341" max="341" width="6.81640625" customWidth="1"/>
    <col min="342" max="342" width="7.81640625" customWidth="1"/>
    <col min="343" max="343" width="6.81640625" customWidth="1"/>
    <col min="344" max="364" width="7.81640625" customWidth="1"/>
    <col min="365" max="365" width="4.81640625" customWidth="1"/>
    <col min="366" max="368" width="7.81640625" customWidth="1"/>
    <col min="369" max="371" width="6.81640625" customWidth="1"/>
    <col min="372" max="380" width="7.81640625" customWidth="1"/>
    <col min="381" max="381" width="6.81640625" customWidth="1"/>
    <col min="382" max="385" width="7.81640625" customWidth="1"/>
    <col min="386" max="386" width="6.81640625" customWidth="1"/>
    <col min="387" max="387" width="7.81640625" customWidth="1"/>
    <col min="388" max="388" width="6.81640625" customWidth="1"/>
    <col min="389" max="403" width="7.81640625" customWidth="1"/>
    <col min="404" max="404" width="6.81640625" customWidth="1"/>
    <col min="405" max="408" width="7.81640625" customWidth="1"/>
    <col min="409" max="409" width="6.81640625" customWidth="1"/>
    <col min="410" max="412" width="7.81640625" customWidth="1"/>
    <col min="413" max="413" width="6.81640625" customWidth="1"/>
    <col min="414" max="422" width="7.81640625" customWidth="1"/>
    <col min="423" max="424" width="6.81640625" customWidth="1"/>
    <col min="425" max="433" width="7.81640625" customWidth="1"/>
    <col min="434" max="434" width="6.81640625" customWidth="1"/>
    <col min="435" max="446" width="7.81640625" customWidth="1"/>
    <col min="447" max="447" width="6.81640625" customWidth="1"/>
    <col min="448" max="464" width="7.81640625" customWidth="1"/>
    <col min="465" max="465" width="6.81640625" customWidth="1"/>
    <col min="466" max="483" width="7.81640625" customWidth="1"/>
    <col min="484" max="484" width="6.81640625" customWidth="1"/>
    <col min="485" max="511" width="7.81640625" customWidth="1"/>
    <col min="512" max="512" width="10.7265625" bestFit="1" customWidth="1"/>
  </cols>
  <sheetData>
    <row r="1" spans="1:27" x14ac:dyDescent="0.35">
      <c r="A1" s="47" t="s">
        <v>1042</v>
      </c>
      <c r="B1" s="47"/>
      <c r="C1" s="47"/>
      <c r="D1" s="47"/>
      <c r="E1" s="47"/>
      <c r="F1" s="47"/>
      <c r="G1" s="47"/>
      <c r="H1" s="47"/>
      <c r="I1" s="47"/>
      <c r="J1" s="47"/>
      <c r="K1" s="47"/>
      <c r="L1" s="47"/>
      <c r="M1" s="47"/>
      <c r="N1" s="47"/>
      <c r="O1" s="47"/>
      <c r="P1" s="47"/>
      <c r="Q1" s="47"/>
      <c r="R1" s="47"/>
      <c r="S1" s="47"/>
      <c r="T1" s="47"/>
      <c r="U1" s="47"/>
      <c r="V1" s="47"/>
      <c r="W1" s="47"/>
      <c r="X1" s="47"/>
      <c r="Y1" s="47"/>
      <c r="Z1" s="47"/>
    </row>
    <row r="3" spans="1:27" x14ac:dyDescent="0.35">
      <c r="D3" s="3" t="s">
        <v>11</v>
      </c>
      <c r="E3" t="s">
        <v>1064</v>
      </c>
      <c r="F3" s="3" t="s">
        <v>11</v>
      </c>
      <c r="G3" t="s">
        <v>1064</v>
      </c>
      <c r="H3" s="3" t="s">
        <v>11</v>
      </c>
      <c r="I3" t="s">
        <v>1064</v>
      </c>
      <c r="J3" s="3" t="s">
        <v>11</v>
      </c>
      <c r="K3" t="s">
        <v>1064</v>
      </c>
    </row>
    <row r="5" spans="1:27" x14ac:dyDescent="0.35">
      <c r="B5" t="s">
        <v>1060</v>
      </c>
      <c r="C5" t="s">
        <v>1018</v>
      </c>
      <c r="D5" t="s">
        <v>1056</v>
      </c>
      <c r="F5" t="s">
        <v>1017</v>
      </c>
      <c r="H5" t="s">
        <v>1016</v>
      </c>
      <c r="J5" t="s">
        <v>1048</v>
      </c>
      <c r="L5" t="s">
        <v>1061</v>
      </c>
      <c r="M5" s="5" t="s">
        <v>1062</v>
      </c>
      <c r="O5" s="2" t="s">
        <v>1055</v>
      </c>
      <c r="Q5" t="s">
        <v>1063</v>
      </c>
    </row>
    <row r="6" spans="1:27" x14ac:dyDescent="0.35">
      <c r="B6" s="2">
        <v>483</v>
      </c>
      <c r="C6" s="2">
        <v>500</v>
      </c>
      <c r="D6" s="2">
        <v>2789</v>
      </c>
      <c r="F6" s="2">
        <v>500</v>
      </c>
      <c r="H6" s="4">
        <v>800.86041999999952</v>
      </c>
      <c r="J6" s="4">
        <v>400430.20999999979</v>
      </c>
      <c r="L6" s="6">
        <v>12.93</v>
      </c>
      <c r="M6" s="5">
        <v>0.86</v>
      </c>
      <c r="O6" s="5">
        <v>0.47799999999999998</v>
      </c>
      <c r="Q6" s="2">
        <v>6465</v>
      </c>
      <c r="AA6" t="s">
        <v>1022</v>
      </c>
    </row>
    <row r="7" spans="1:27" x14ac:dyDescent="0.35">
      <c r="AA7" s="2">
        <v>500</v>
      </c>
    </row>
    <row r="8" spans="1:27" x14ac:dyDescent="0.35">
      <c r="A8" s="47" t="s">
        <v>1043</v>
      </c>
      <c r="B8" s="47"/>
      <c r="C8" s="47"/>
      <c r="D8" s="47"/>
      <c r="E8" s="47"/>
      <c r="F8" s="47"/>
      <c r="G8" s="47"/>
      <c r="H8" s="47"/>
      <c r="I8" s="47"/>
      <c r="J8" s="47"/>
      <c r="K8" s="47"/>
      <c r="L8" s="47"/>
      <c r="M8" s="47"/>
      <c r="N8" s="47"/>
      <c r="O8" s="47"/>
      <c r="P8" s="47"/>
      <c r="Q8" s="47"/>
      <c r="R8" s="47"/>
      <c r="S8" s="47"/>
      <c r="T8" s="47"/>
      <c r="U8" s="47"/>
      <c r="V8" s="47"/>
      <c r="W8" s="47"/>
      <c r="X8" s="47"/>
      <c r="Y8" s="47"/>
      <c r="Z8" s="47"/>
    </row>
    <row r="10" spans="1:27" ht="21" x14ac:dyDescent="0.55000000000000004">
      <c r="C10" s="5" t="s">
        <v>1028</v>
      </c>
      <c r="F10" s="11" t="s">
        <v>1022</v>
      </c>
      <c r="G10" s="3" t="s">
        <v>1027</v>
      </c>
      <c r="L10" s="3" t="s">
        <v>1023</v>
      </c>
      <c r="M10" t="s">
        <v>1033</v>
      </c>
      <c r="O10" s="40" t="s">
        <v>1045</v>
      </c>
      <c r="P10" s="41" t="s">
        <v>1057</v>
      </c>
      <c r="Q10" s="42"/>
      <c r="R10" s="42"/>
      <c r="S10" s="42"/>
      <c r="T10" s="42"/>
      <c r="U10" s="42"/>
      <c r="V10" s="42"/>
      <c r="Y10" s="3" t="s">
        <v>1023</v>
      </c>
      <c r="Z10" t="s">
        <v>1041</v>
      </c>
    </row>
    <row r="11" spans="1:27" ht="17.5" x14ac:dyDescent="0.45">
      <c r="B11" s="8" t="s">
        <v>14</v>
      </c>
      <c r="C11" s="5">
        <v>0.32</v>
      </c>
      <c r="F11" s="3" t="s">
        <v>1029</v>
      </c>
      <c r="G11" t="s">
        <v>14</v>
      </c>
      <c r="H11" t="s">
        <v>30</v>
      </c>
      <c r="I11" t="s">
        <v>35</v>
      </c>
      <c r="J11" t="s">
        <v>1021</v>
      </c>
      <c r="L11" s="8" t="s">
        <v>14</v>
      </c>
      <c r="M11" s="5">
        <v>0.32359446606188874</v>
      </c>
      <c r="O11" s="43" t="s">
        <v>1058</v>
      </c>
      <c r="P11" s="46" t="s">
        <v>1034</v>
      </c>
      <c r="Q11" s="44" t="s">
        <v>1035</v>
      </c>
      <c r="R11" s="44" t="s">
        <v>1036</v>
      </c>
      <c r="S11" s="44" t="s">
        <v>1037</v>
      </c>
      <c r="T11" s="44" t="s">
        <v>1038</v>
      </c>
      <c r="U11" s="44" t="s">
        <v>1039</v>
      </c>
      <c r="V11" s="44" t="s">
        <v>1040</v>
      </c>
      <c r="Y11" s="8" t="s">
        <v>14</v>
      </c>
      <c r="Z11" s="5">
        <v>0.29707112970711297</v>
      </c>
    </row>
    <row r="12" spans="1:27" ht="17.5" x14ac:dyDescent="0.45">
      <c r="B12" s="8" t="s">
        <v>30</v>
      </c>
      <c r="C12" s="5">
        <v>0.32600000000000001</v>
      </c>
      <c r="F12" s="8" t="s">
        <v>1024</v>
      </c>
      <c r="G12" s="5"/>
      <c r="H12" s="5"/>
      <c r="I12" s="5"/>
      <c r="J12" s="5"/>
      <c r="L12" s="8" t="s">
        <v>30</v>
      </c>
      <c r="M12" s="5">
        <v>0.33235996355020275</v>
      </c>
      <c r="O12" s="44" t="s">
        <v>14</v>
      </c>
      <c r="P12" s="36">
        <v>0.13750000000000001</v>
      </c>
      <c r="Q12" s="37">
        <v>0.15</v>
      </c>
      <c r="R12" s="37">
        <v>0.10625</v>
      </c>
      <c r="S12" s="37">
        <v>0.17499999999999999</v>
      </c>
      <c r="T12" s="37">
        <v>0.15625</v>
      </c>
      <c r="U12" s="37">
        <v>0.13750000000000001</v>
      </c>
      <c r="V12" s="37">
        <v>0.13750000000000001</v>
      </c>
      <c r="Y12" s="8" t="s">
        <v>30</v>
      </c>
      <c r="Z12" s="5">
        <v>0.33891213389121339</v>
      </c>
    </row>
    <row r="13" spans="1:27" ht="17.5" x14ac:dyDescent="0.45">
      <c r="B13" s="8" t="s">
        <v>35</v>
      </c>
      <c r="C13" s="5">
        <v>0.35399999999999998</v>
      </c>
      <c r="F13" s="14">
        <v>1</v>
      </c>
      <c r="G13" s="49">
        <v>2.5999999999999999E-2</v>
      </c>
      <c r="H13" s="49">
        <v>1.6E-2</v>
      </c>
      <c r="I13" s="49">
        <v>1.2E-2</v>
      </c>
      <c r="J13" s="49">
        <v>5.3999999999999999E-2</v>
      </c>
      <c r="L13" s="8" t="s">
        <v>35</v>
      </c>
      <c r="M13" s="5">
        <v>0.34404557038790851</v>
      </c>
      <c r="O13" s="45" t="s">
        <v>30</v>
      </c>
      <c r="P13" s="38">
        <v>0.16564417177914109</v>
      </c>
      <c r="Q13" s="39">
        <v>0.1411042944785276</v>
      </c>
      <c r="R13" s="39">
        <v>0.15337423312883436</v>
      </c>
      <c r="S13" s="39">
        <v>0.17791411042944785</v>
      </c>
      <c r="T13" s="39">
        <v>9.815950920245399E-2</v>
      </c>
      <c r="U13" s="39">
        <v>0.12269938650306748</v>
      </c>
      <c r="V13" s="39">
        <v>0.1411042944785276</v>
      </c>
      <c r="Y13" s="8" t="s">
        <v>35</v>
      </c>
      <c r="Z13" s="5">
        <v>0.36401673640167365</v>
      </c>
    </row>
    <row r="14" spans="1:27" ht="17.5" x14ac:dyDescent="0.45">
      <c r="B14" s="8" t="s">
        <v>1021</v>
      </c>
      <c r="C14" s="5">
        <v>1</v>
      </c>
      <c r="F14" s="14">
        <v>2</v>
      </c>
      <c r="G14" s="49">
        <v>1.6E-2</v>
      </c>
      <c r="H14" s="49">
        <v>2.1999999999999999E-2</v>
      </c>
      <c r="I14" s="49">
        <v>1.6E-2</v>
      </c>
      <c r="J14" s="49">
        <v>5.3999999999999999E-2</v>
      </c>
      <c r="L14" s="8" t="s">
        <v>1021</v>
      </c>
      <c r="M14" s="5">
        <v>1</v>
      </c>
      <c r="O14" s="45" t="s">
        <v>35</v>
      </c>
      <c r="P14" s="38">
        <v>0.10734463276836158</v>
      </c>
      <c r="Q14" s="39">
        <v>0.14689265536723164</v>
      </c>
      <c r="R14" s="39">
        <v>0.14124293785310735</v>
      </c>
      <c r="S14" s="39">
        <v>0.19774011299435029</v>
      </c>
      <c r="T14" s="39">
        <v>7.909604519774012E-2</v>
      </c>
      <c r="U14" s="39">
        <v>0.22598870056497175</v>
      </c>
      <c r="V14" s="39">
        <v>0.10169491525423729</v>
      </c>
      <c r="Y14" s="8" t="s">
        <v>1021</v>
      </c>
      <c r="Z14" s="5">
        <v>1</v>
      </c>
    </row>
    <row r="15" spans="1:27" x14ac:dyDescent="0.35">
      <c r="F15" s="14">
        <v>3</v>
      </c>
      <c r="G15" s="49">
        <v>1.4E-2</v>
      </c>
      <c r="H15" s="49">
        <v>1.6E-2</v>
      </c>
      <c r="I15" s="49">
        <v>0.03</v>
      </c>
      <c r="J15" s="49">
        <v>0.06</v>
      </c>
    </row>
    <row r="16" spans="1:27" x14ac:dyDescent="0.35">
      <c r="F16" s="14">
        <v>4</v>
      </c>
      <c r="G16" s="49">
        <v>2.1999999999999999E-2</v>
      </c>
      <c r="H16" s="49">
        <v>0.03</v>
      </c>
      <c r="I16" s="49">
        <v>0.02</v>
      </c>
      <c r="J16" s="49">
        <v>7.1999999999999995E-2</v>
      </c>
    </row>
    <row r="17" spans="6:23" x14ac:dyDescent="0.35">
      <c r="F17" s="14">
        <v>5</v>
      </c>
      <c r="G17" s="49">
        <v>1.6E-2</v>
      </c>
      <c r="H17" s="49">
        <v>1.4E-2</v>
      </c>
      <c r="I17" s="49">
        <v>2.1999999999999999E-2</v>
      </c>
      <c r="J17" s="49">
        <v>5.1999999999999998E-2</v>
      </c>
      <c r="O17" s="48" t="s">
        <v>1045</v>
      </c>
      <c r="P17" s="48"/>
      <c r="Q17" s="48"/>
      <c r="R17" s="48"/>
      <c r="S17" s="48"/>
      <c r="T17" s="48"/>
      <c r="U17" s="48"/>
      <c r="V17" s="48"/>
      <c r="W17" s="48"/>
    </row>
    <row r="18" spans="6:23" x14ac:dyDescent="0.35">
      <c r="F18" s="8" t="s">
        <v>1025</v>
      </c>
      <c r="G18" s="49"/>
      <c r="H18" s="49"/>
      <c r="I18" s="49"/>
      <c r="J18" s="49"/>
    </row>
    <row r="19" spans="6:23" x14ac:dyDescent="0.35">
      <c r="F19" s="14">
        <v>1</v>
      </c>
      <c r="G19" s="49">
        <v>0.01</v>
      </c>
      <c r="H19" s="49">
        <v>1.4E-2</v>
      </c>
      <c r="I19" s="49">
        <v>1.6E-2</v>
      </c>
      <c r="J19" s="49">
        <v>0.04</v>
      </c>
    </row>
    <row r="20" spans="6:23" x14ac:dyDescent="0.35">
      <c r="F20" s="14">
        <v>2</v>
      </c>
      <c r="G20" s="49">
        <v>0.02</v>
      </c>
      <c r="H20" s="49">
        <v>2.5999999999999999E-2</v>
      </c>
      <c r="I20" s="49">
        <v>2.5999999999999999E-2</v>
      </c>
      <c r="J20" s="49">
        <v>7.1999999999999995E-2</v>
      </c>
      <c r="O20" s="25"/>
      <c r="P20" s="26"/>
      <c r="Q20" s="27"/>
    </row>
    <row r="21" spans="6:23" x14ac:dyDescent="0.35">
      <c r="F21" s="14">
        <v>3</v>
      </c>
      <c r="G21" s="49">
        <v>2.5999999999999999E-2</v>
      </c>
      <c r="H21" s="49">
        <v>2.8000000000000001E-2</v>
      </c>
      <c r="I21" s="49">
        <v>2.5999999999999999E-2</v>
      </c>
      <c r="J21" s="49">
        <v>0.08</v>
      </c>
      <c r="O21" s="28"/>
      <c r="P21" s="29"/>
      <c r="Q21" s="30"/>
    </row>
    <row r="22" spans="6:23" x14ac:dyDescent="0.35">
      <c r="F22" s="14">
        <v>4</v>
      </c>
      <c r="G22" s="49">
        <v>1.7999999999999999E-2</v>
      </c>
      <c r="H22" s="49">
        <v>1.6E-2</v>
      </c>
      <c r="I22" s="49">
        <v>3.2000000000000001E-2</v>
      </c>
      <c r="J22" s="49">
        <v>6.6000000000000003E-2</v>
      </c>
      <c r="O22" s="28"/>
      <c r="P22" s="29"/>
      <c r="Q22" s="30"/>
    </row>
    <row r="23" spans="6:23" x14ac:dyDescent="0.35">
      <c r="F23" s="14">
        <v>5</v>
      </c>
      <c r="G23" s="49">
        <v>2.1999999999999999E-2</v>
      </c>
      <c r="H23" s="49">
        <v>2.1999999999999999E-2</v>
      </c>
      <c r="I23" s="49">
        <v>0.02</v>
      </c>
      <c r="J23" s="49">
        <v>6.4000000000000001E-2</v>
      </c>
      <c r="O23" s="28"/>
      <c r="P23" s="29"/>
      <c r="Q23" s="30"/>
    </row>
    <row r="24" spans="6:23" x14ac:dyDescent="0.35">
      <c r="F24" s="8" t="s">
        <v>1026</v>
      </c>
      <c r="G24" s="49"/>
      <c r="H24" s="49"/>
      <c r="I24" s="49"/>
      <c r="J24" s="49"/>
      <c r="O24" s="28"/>
      <c r="P24" s="29"/>
      <c r="Q24" s="30"/>
    </row>
    <row r="25" spans="6:23" x14ac:dyDescent="0.35">
      <c r="F25" s="14">
        <v>1</v>
      </c>
      <c r="G25" s="49">
        <v>1.2E-2</v>
      </c>
      <c r="H25" s="49">
        <v>6.0000000000000001E-3</v>
      </c>
      <c r="I25" s="49">
        <v>1.4E-2</v>
      </c>
      <c r="J25" s="49">
        <v>3.2000000000000001E-2</v>
      </c>
      <c r="O25" s="28"/>
      <c r="P25" s="29"/>
      <c r="Q25" s="30"/>
    </row>
    <row r="26" spans="6:23" x14ac:dyDescent="0.35">
      <c r="F26" s="14">
        <v>2</v>
      </c>
      <c r="G26" s="49">
        <v>3.2000000000000001E-2</v>
      </c>
      <c r="H26" s="49">
        <v>3.5999999999999997E-2</v>
      </c>
      <c r="I26" s="49">
        <v>3.5999999999999997E-2</v>
      </c>
      <c r="J26" s="49">
        <v>0.104</v>
      </c>
      <c r="O26" s="28"/>
      <c r="P26" s="29"/>
      <c r="Q26" s="30"/>
    </row>
    <row r="27" spans="6:23" x14ac:dyDescent="0.35">
      <c r="F27" s="14">
        <v>3</v>
      </c>
      <c r="G27" s="49">
        <v>2.8000000000000001E-2</v>
      </c>
      <c r="H27" s="49">
        <v>2.1999999999999999E-2</v>
      </c>
      <c r="I27" s="49">
        <v>2.4E-2</v>
      </c>
      <c r="J27" s="49">
        <v>7.3999999999999996E-2</v>
      </c>
      <c r="O27" s="28"/>
      <c r="P27" s="29"/>
      <c r="Q27" s="30"/>
    </row>
    <row r="28" spans="6:23" x14ac:dyDescent="0.35">
      <c r="F28" s="14">
        <v>4</v>
      </c>
      <c r="G28" s="49">
        <v>1.7999999999999999E-2</v>
      </c>
      <c r="H28" s="49">
        <v>3.2000000000000001E-2</v>
      </c>
      <c r="I28" s="49">
        <v>3.4000000000000002E-2</v>
      </c>
      <c r="J28" s="49">
        <v>8.4000000000000005E-2</v>
      </c>
      <c r="O28" s="28"/>
      <c r="P28" s="29"/>
      <c r="Q28" s="30"/>
    </row>
    <row r="29" spans="6:23" x14ac:dyDescent="0.35">
      <c r="F29" s="14">
        <v>5</v>
      </c>
      <c r="G29" s="49">
        <v>3.7999999999999999E-2</v>
      </c>
      <c r="H29" s="49">
        <v>1.7999999999999999E-2</v>
      </c>
      <c r="I29" s="49">
        <v>0.02</v>
      </c>
      <c r="J29" s="49">
        <v>7.5999999999999998E-2</v>
      </c>
      <c r="O29" s="28"/>
      <c r="P29" s="29"/>
      <c r="Q29" s="30"/>
    </row>
    <row r="30" spans="6:23" x14ac:dyDescent="0.35">
      <c r="F30" s="14">
        <v>6</v>
      </c>
      <c r="G30" s="49">
        <v>2E-3</v>
      </c>
      <c r="H30" s="49">
        <v>8.0000000000000002E-3</v>
      </c>
      <c r="I30" s="49">
        <v>6.0000000000000001E-3</v>
      </c>
      <c r="J30" s="49">
        <v>1.6E-2</v>
      </c>
      <c r="O30" s="28"/>
      <c r="P30" s="29"/>
      <c r="Q30" s="30"/>
    </row>
    <row r="31" spans="6:23" x14ac:dyDescent="0.35">
      <c r="F31" s="8" t="s">
        <v>1021</v>
      </c>
      <c r="G31" s="49">
        <v>0.32</v>
      </c>
      <c r="H31" s="49">
        <v>0.32600000000000001</v>
      </c>
      <c r="I31" s="49">
        <v>0.35399999999999998</v>
      </c>
      <c r="J31" s="49">
        <v>1</v>
      </c>
      <c r="O31" s="28"/>
      <c r="P31" s="29"/>
      <c r="Q31" s="30"/>
    </row>
    <row r="32" spans="6:23" x14ac:dyDescent="0.35">
      <c r="O32" s="28"/>
      <c r="P32" s="29"/>
      <c r="Q32" s="30"/>
    </row>
    <row r="33" spans="1:39" x14ac:dyDescent="0.35">
      <c r="A33" s="18"/>
      <c r="B33" s="18"/>
      <c r="C33" s="18"/>
      <c r="O33" s="28"/>
      <c r="P33" s="29"/>
      <c r="Q33" s="30"/>
    </row>
    <row r="34" spans="1:39" x14ac:dyDescent="0.35">
      <c r="O34" s="28"/>
      <c r="P34" s="29"/>
      <c r="Q34" s="30"/>
    </row>
    <row r="35" spans="1:39" x14ac:dyDescent="0.35">
      <c r="O35" s="28"/>
      <c r="P35" s="29"/>
      <c r="Q35" s="30"/>
    </row>
    <row r="36" spans="1:39" x14ac:dyDescent="0.35">
      <c r="O36" s="28"/>
      <c r="P36" s="29"/>
      <c r="Q36" s="30"/>
    </row>
    <row r="37" spans="1:39" x14ac:dyDescent="0.35">
      <c r="O37" s="31"/>
      <c r="P37" s="32"/>
      <c r="Q37" s="33"/>
    </row>
    <row r="40" spans="1:39" s="18" customFormat="1" x14ac:dyDescent="0.35">
      <c r="AI40"/>
      <c r="AJ40"/>
      <c r="AK40"/>
      <c r="AL40"/>
      <c r="AM40"/>
    </row>
    <row r="44" spans="1:39" x14ac:dyDescent="0.35">
      <c r="A44" s="47" t="s">
        <v>1044</v>
      </c>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6" spans="1:39" x14ac:dyDescent="0.35">
      <c r="B46" s="3" t="s">
        <v>1023</v>
      </c>
      <c r="C46" t="s">
        <v>1046</v>
      </c>
      <c r="F46" s="3" t="s">
        <v>1023</v>
      </c>
      <c r="G46" t="s">
        <v>1047</v>
      </c>
      <c r="J46" s="3" t="s">
        <v>1023</v>
      </c>
      <c r="K46" t="s">
        <v>1047</v>
      </c>
      <c r="M46" s="3" t="s">
        <v>1023</v>
      </c>
      <c r="N46" t="s">
        <v>1022</v>
      </c>
      <c r="O46" t="s">
        <v>1047</v>
      </c>
      <c r="Q46" s="7"/>
      <c r="R46" s="7" t="s">
        <v>1022</v>
      </c>
      <c r="S46" s="7" t="s">
        <v>1047</v>
      </c>
      <c r="U46" s="3" t="s">
        <v>1023</v>
      </c>
      <c r="V46" t="s">
        <v>1048</v>
      </c>
      <c r="W46" t="s">
        <v>1049</v>
      </c>
      <c r="Y46" s="3" t="s">
        <v>1023</v>
      </c>
      <c r="Z46" t="s">
        <v>1033</v>
      </c>
      <c r="AA46" t="s">
        <v>1047</v>
      </c>
      <c r="AC46" s="7" t="s">
        <v>1023</v>
      </c>
      <c r="AD46" s="7" t="s">
        <v>1033</v>
      </c>
      <c r="AE46" s="7" t="s">
        <v>1047</v>
      </c>
    </row>
    <row r="47" spans="1:39" x14ac:dyDescent="0.35">
      <c r="B47" s="8" t="s">
        <v>14</v>
      </c>
      <c r="C47" s="2">
        <v>135</v>
      </c>
      <c r="F47" s="8" t="s">
        <v>14</v>
      </c>
      <c r="G47" s="2">
        <v>1975</v>
      </c>
      <c r="J47" s="8" t="s">
        <v>1024</v>
      </c>
      <c r="K47" s="2"/>
      <c r="M47" s="8">
        <v>1</v>
      </c>
      <c r="N47" s="2">
        <v>63</v>
      </c>
      <c r="O47" s="2">
        <v>835</v>
      </c>
      <c r="Q47" s="10" t="s">
        <v>1024</v>
      </c>
      <c r="R47" s="12"/>
      <c r="S47" s="12"/>
      <c r="U47" s="8" t="s">
        <v>24</v>
      </c>
      <c r="V47" s="4">
        <v>209434.82000000004</v>
      </c>
      <c r="W47" s="2">
        <v>3375</v>
      </c>
      <c r="Y47" s="8" t="s">
        <v>24</v>
      </c>
      <c r="Z47" s="4">
        <v>209434.82</v>
      </c>
      <c r="AA47" s="2">
        <v>3375</v>
      </c>
      <c r="AC47" s="15" t="s">
        <v>1024</v>
      </c>
      <c r="AD47" s="21"/>
      <c r="AE47" s="19"/>
    </row>
    <row r="48" spans="1:39" x14ac:dyDescent="0.35">
      <c r="B48" s="8" t="s">
        <v>30</v>
      </c>
      <c r="C48" s="2">
        <v>143</v>
      </c>
      <c r="F48" s="8" t="s">
        <v>30</v>
      </c>
      <c r="G48" s="2">
        <v>2170</v>
      </c>
      <c r="J48" s="14">
        <v>1</v>
      </c>
      <c r="K48" s="2">
        <v>295</v>
      </c>
      <c r="M48" s="8">
        <v>2</v>
      </c>
      <c r="N48" s="2">
        <v>115</v>
      </c>
      <c r="O48" s="2">
        <v>1345</v>
      </c>
      <c r="Q48" s="15">
        <v>1</v>
      </c>
      <c r="R48" s="19">
        <v>27</v>
      </c>
      <c r="S48" s="19">
        <v>295</v>
      </c>
      <c r="U48" s="14" t="s">
        <v>1034</v>
      </c>
      <c r="V48" s="4">
        <v>31096.430000000004</v>
      </c>
      <c r="W48" s="2">
        <v>510</v>
      </c>
      <c r="Y48" s="14">
        <v>1</v>
      </c>
      <c r="Z48" s="4">
        <v>26961.370000000006</v>
      </c>
      <c r="AA48" s="2">
        <v>375</v>
      </c>
      <c r="AC48" s="20">
        <v>1</v>
      </c>
      <c r="AD48" s="4">
        <v>11195.920000000002</v>
      </c>
      <c r="AE48" s="2">
        <v>115</v>
      </c>
    </row>
    <row r="49" spans="2:31" x14ac:dyDescent="0.35">
      <c r="B49" s="8" t="s">
        <v>35</v>
      </c>
      <c r="C49" s="2">
        <v>152</v>
      </c>
      <c r="F49" s="8" t="s">
        <v>35</v>
      </c>
      <c r="G49" s="2">
        <v>2320</v>
      </c>
      <c r="J49" s="14">
        <v>2</v>
      </c>
      <c r="K49" s="2">
        <v>335</v>
      </c>
      <c r="M49" s="8">
        <v>3</v>
      </c>
      <c r="N49" s="2">
        <v>107</v>
      </c>
      <c r="O49" s="2">
        <v>1475</v>
      </c>
      <c r="Q49" s="15">
        <v>2</v>
      </c>
      <c r="R49" s="19">
        <v>27</v>
      </c>
      <c r="S49" s="19">
        <v>335</v>
      </c>
      <c r="U49" s="14" t="s">
        <v>1035</v>
      </c>
      <c r="V49" s="4">
        <v>35000.85</v>
      </c>
      <c r="W49" s="2">
        <v>580</v>
      </c>
      <c r="Y49" s="14">
        <v>2</v>
      </c>
      <c r="Z49" s="4">
        <v>52041.77</v>
      </c>
      <c r="AA49" s="2">
        <v>725</v>
      </c>
      <c r="AC49" s="20">
        <v>2</v>
      </c>
      <c r="AD49" s="4">
        <v>10764.849999999999</v>
      </c>
      <c r="AE49" s="2">
        <v>175</v>
      </c>
    </row>
    <row r="50" spans="2:31" x14ac:dyDescent="0.35">
      <c r="B50" s="8" t="s">
        <v>1021</v>
      </c>
      <c r="C50" s="2">
        <v>430</v>
      </c>
      <c r="F50" s="8" t="s">
        <v>1021</v>
      </c>
      <c r="G50" s="2">
        <v>6465</v>
      </c>
      <c r="J50" s="14">
        <v>3</v>
      </c>
      <c r="K50" s="2">
        <v>445</v>
      </c>
      <c r="M50" s="8">
        <v>4</v>
      </c>
      <c r="N50" s="2">
        <v>111</v>
      </c>
      <c r="O50" s="2">
        <v>1510</v>
      </c>
      <c r="Q50" s="15">
        <v>3</v>
      </c>
      <c r="R50" s="19">
        <v>30</v>
      </c>
      <c r="S50" s="19">
        <v>445</v>
      </c>
      <c r="U50" s="14" t="s">
        <v>1036</v>
      </c>
      <c r="V50" s="4">
        <v>22161.84</v>
      </c>
      <c r="W50" s="2">
        <v>485</v>
      </c>
      <c r="Y50" s="14">
        <v>3</v>
      </c>
      <c r="Z50" s="4">
        <v>38585.210000000006</v>
      </c>
      <c r="AA50" s="2">
        <v>740</v>
      </c>
      <c r="AC50" s="20">
        <v>3</v>
      </c>
      <c r="AD50" s="4">
        <v>9420.7900000000009</v>
      </c>
      <c r="AE50" s="2">
        <v>200</v>
      </c>
    </row>
    <row r="51" spans="2:31" x14ac:dyDescent="0.35">
      <c r="J51" s="14">
        <v>4</v>
      </c>
      <c r="K51" s="2">
        <v>500</v>
      </c>
      <c r="M51" s="8">
        <v>5</v>
      </c>
      <c r="N51" s="2">
        <v>96</v>
      </c>
      <c r="O51" s="2">
        <v>1215</v>
      </c>
      <c r="Q51" s="15">
        <v>4</v>
      </c>
      <c r="R51" s="19">
        <v>36</v>
      </c>
      <c r="S51" s="19">
        <v>500</v>
      </c>
      <c r="U51" s="14" t="s">
        <v>1037</v>
      </c>
      <c r="V51" s="4">
        <v>35795.529999999992</v>
      </c>
      <c r="W51" s="2">
        <v>505</v>
      </c>
      <c r="Y51" s="14">
        <v>4</v>
      </c>
      <c r="Z51" s="4">
        <v>49862.510000000009</v>
      </c>
      <c r="AA51" s="2">
        <v>920</v>
      </c>
      <c r="AC51" s="20">
        <v>4</v>
      </c>
      <c r="AD51" s="4">
        <v>17811.470000000005</v>
      </c>
      <c r="AE51" s="2">
        <v>370</v>
      </c>
    </row>
    <row r="52" spans="2:31" x14ac:dyDescent="0.35">
      <c r="J52" s="14">
        <v>5</v>
      </c>
      <c r="K52" s="2">
        <v>300</v>
      </c>
      <c r="M52" s="8">
        <v>6</v>
      </c>
      <c r="N52" s="2">
        <v>8</v>
      </c>
      <c r="O52" s="2">
        <v>85</v>
      </c>
      <c r="Q52" s="15">
        <v>5</v>
      </c>
      <c r="R52" s="19">
        <v>26</v>
      </c>
      <c r="S52" s="19">
        <v>300</v>
      </c>
      <c r="U52" s="14" t="s">
        <v>1038</v>
      </c>
      <c r="V52" s="4">
        <v>24122.050000000007</v>
      </c>
      <c r="W52" s="2">
        <v>350</v>
      </c>
      <c r="Y52" s="14">
        <v>5</v>
      </c>
      <c r="Z52" s="4">
        <v>38486.079999999987</v>
      </c>
      <c r="AA52" s="2">
        <v>590</v>
      </c>
      <c r="AC52" s="20">
        <v>5</v>
      </c>
      <c r="AD52" s="4">
        <v>12507.220000000001</v>
      </c>
      <c r="AE52" s="2">
        <v>165</v>
      </c>
    </row>
    <row r="53" spans="2:31" x14ac:dyDescent="0.35">
      <c r="J53" s="8" t="s">
        <v>1025</v>
      </c>
      <c r="K53" s="2"/>
      <c r="M53" s="8" t="s">
        <v>1021</v>
      </c>
      <c r="N53" s="2">
        <v>500</v>
      </c>
      <c r="O53" s="2">
        <v>6465</v>
      </c>
      <c r="Q53" s="10" t="s">
        <v>1025</v>
      </c>
      <c r="R53" s="12"/>
      <c r="S53" s="12"/>
      <c r="U53" s="14" t="s">
        <v>1039</v>
      </c>
      <c r="V53" s="4">
        <v>34119.710000000006</v>
      </c>
      <c r="W53" s="2">
        <v>505</v>
      </c>
      <c r="Y53" s="14">
        <v>6</v>
      </c>
      <c r="Z53" s="4">
        <v>3497.88</v>
      </c>
      <c r="AA53" s="2">
        <v>25</v>
      </c>
      <c r="AC53" s="15" t="s">
        <v>1025</v>
      </c>
      <c r="AD53" s="21"/>
      <c r="AE53" s="19"/>
    </row>
    <row r="54" spans="2:31" x14ac:dyDescent="0.35">
      <c r="J54" s="14">
        <v>1</v>
      </c>
      <c r="K54" s="2">
        <v>335</v>
      </c>
      <c r="Q54" s="15">
        <v>1</v>
      </c>
      <c r="R54" s="19">
        <v>20</v>
      </c>
      <c r="S54" s="19">
        <v>335</v>
      </c>
      <c r="U54" s="14" t="s">
        <v>1040</v>
      </c>
      <c r="V54" s="4">
        <v>27138.409999999996</v>
      </c>
      <c r="W54" s="2">
        <v>440</v>
      </c>
      <c r="Y54" s="8" t="s">
        <v>18</v>
      </c>
      <c r="Z54" s="4">
        <v>190995.38999999987</v>
      </c>
      <c r="AA54" s="2">
        <v>3090</v>
      </c>
      <c r="AC54" s="20">
        <v>1</v>
      </c>
      <c r="AD54" s="4">
        <v>12415.13</v>
      </c>
      <c r="AE54" s="2">
        <v>205</v>
      </c>
    </row>
    <row r="55" spans="2:31" x14ac:dyDescent="0.35">
      <c r="J55" s="14">
        <v>2</v>
      </c>
      <c r="K55" s="2">
        <v>380</v>
      </c>
      <c r="Q55" s="15">
        <v>2</v>
      </c>
      <c r="R55" s="19">
        <v>36</v>
      </c>
      <c r="S55" s="19">
        <v>380</v>
      </c>
      <c r="U55" s="8" t="s">
        <v>1021</v>
      </c>
      <c r="V55" s="4">
        <v>209434.82000000004</v>
      </c>
      <c r="W55" s="2">
        <v>3375</v>
      </c>
      <c r="Y55" s="8" t="s">
        <v>1021</v>
      </c>
      <c r="Z55" s="4">
        <v>400430.20999999985</v>
      </c>
      <c r="AA55" s="2">
        <v>6465</v>
      </c>
      <c r="AC55" s="20">
        <v>2</v>
      </c>
      <c r="AD55" s="4">
        <v>10765.470000000001</v>
      </c>
      <c r="AE55" s="2">
        <v>175</v>
      </c>
    </row>
    <row r="56" spans="2:31" x14ac:dyDescent="0.35">
      <c r="J56" s="14">
        <v>3</v>
      </c>
      <c r="K56" s="2">
        <v>480</v>
      </c>
      <c r="Q56" s="15">
        <v>3</v>
      </c>
      <c r="R56" s="19">
        <v>40</v>
      </c>
      <c r="S56" s="19">
        <v>480</v>
      </c>
      <c r="AC56" s="20">
        <v>3</v>
      </c>
      <c r="AD56" s="4">
        <v>13184.36</v>
      </c>
      <c r="AE56" s="2">
        <v>220</v>
      </c>
    </row>
    <row r="57" spans="2:31" x14ac:dyDescent="0.35">
      <c r="J57" s="14">
        <v>4</v>
      </c>
      <c r="K57" s="2">
        <v>490</v>
      </c>
      <c r="Q57" s="15">
        <v>4</v>
      </c>
      <c r="R57" s="19">
        <v>33</v>
      </c>
      <c r="S57" s="19">
        <v>490</v>
      </c>
      <c r="AC57" s="20">
        <v>4</v>
      </c>
      <c r="AD57" s="4">
        <v>17294.339999999997</v>
      </c>
      <c r="AE57" s="2">
        <v>265</v>
      </c>
    </row>
    <row r="58" spans="2:31" x14ac:dyDescent="0.35">
      <c r="J58" s="14">
        <v>5</v>
      </c>
      <c r="K58" s="2">
        <v>435</v>
      </c>
      <c r="Q58" s="15">
        <v>5</v>
      </c>
      <c r="R58" s="19">
        <v>32</v>
      </c>
      <c r="S58" s="19">
        <v>435</v>
      </c>
      <c r="AC58" s="20">
        <v>5</v>
      </c>
      <c r="AD58" s="4">
        <v>10043.09</v>
      </c>
      <c r="AE58" s="2">
        <v>185</v>
      </c>
    </row>
    <row r="59" spans="2:31" x14ac:dyDescent="0.35">
      <c r="J59" s="8" t="s">
        <v>1026</v>
      </c>
      <c r="K59" s="2"/>
      <c r="Q59" s="10" t="s">
        <v>1026</v>
      </c>
      <c r="R59" s="12"/>
      <c r="S59" s="12"/>
      <c r="AC59" s="15" t="s">
        <v>1026</v>
      </c>
      <c r="AD59" s="21"/>
      <c r="AE59" s="19"/>
    </row>
    <row r="60" spans="2:31" x14ac:dyDescent="0.35">
      <c r="J60" s="14">
        <v>1</v>
      </c>
      <c r="K60" s="2">
        <v>205</v>
      </c>
      <c r="Q60" s="15">
        <v>1</v>
      </c>
      <c r="R60" s="19">
        <v>16</v>
      </c>
      <c r="S60" s="19">
        <v>205</v>
      </c>
      <c r="AC60" s="20">
        <v>1</v>
      </c>
      <c r="AD60" s="4">
        <v>3350.3199999999997</v>
      </c>
      <c r="AE60" s="2">
        <v>55</v>
      </c>
    </row>
    <row r="61" spans="2:31" x14ac:dyDescent="0.35">
      <c r="J61" s="14">
        <v>2</v>
      </c>
      <c r="K61" s="2">
        <v>630</v>
      </c>
      <c r="Q61" s="15">
        <v>2</v>
      </c>
      <c r="R61" s="19">
        <v>52</v>
      </c>
      <c r="S61" s="19">
        <v>630</v>
      </c>
      <c r="AC61" s="20">
        <v>2</v>
      </c>
      <c r="AD61" s="4">
        <v>30511.450000000008</v>
      </c>
      <c r="AE61" s="2">
        <v>375</v>
      </c>
    </row>
    <row r="62" spans="2:31" x14ac:dyDescent="0.35">
      <c r="J62" s="14">
        <v>3</v>
      </c>
      <c r="K62" s="2">
        <v>550</v>
      </c>
      <c r="Q62" s="15">
        <v>3</v>
      </c>
      <c r="R62" s="19">
        <v>37</v>
      </c>
      <c r="S62" s="19">
        <v>550</v>
      </c>
      <c r="AC62" s="20">
        <v>3</v>
      </c>
      <c r="AD62" s="4">
        <v>15980.060000000001</v>
      </c>
      <c r="AE62" s="2">
        <v>320</v>
      </c>
    </row>
    <row r="63" spans="2:31" x14ac:dyDescent="0.35">
      <c r="J63" s="14">
        <v>4</v>
      </c>
      <c r="K63" s="2">
        <v>520</v>
      </c>
      <c r="Q63" s="15">
        <v>4</v>
      </c>
      <c r="R63" s="19">
        <v>42</v>
      </c>
      <c r="S63" s="19">
        <v>520</v>
      </c>
      <c r="AC63" s="20">
        <v>4</v>
      </c>
      <c r="AD63" s="4">
        <v>14756.699999999999</v>
      </c>
      <c r="AE63" s="2">
        <v>285</v>
      </c>
    </row>
    <row r="64" spans="2:31" x14ac:dyDescent="0.35">
      <c r="J64" s="14">
        <v>5</v>
      </c>
      <c r="K64" s="2">
        <v>480</v>
      </c>
      <c r="Q64" s="15">
        <v>5</v>
      </c>
      <c r="R64" s="19">
        <v>38</v>
      </c>
      <c r="S64" s="19">
        <v>480</v>
      </c>
      <c r="AC64" s="20">
        <v>5</v>
      </c>
      <c r="AD64" s="4">
        <v>15935.769999999999</v>
      </c>
      <c r="AE64" s="2">
        <v>240</v>
      </c>
    </row>
    <row r="65" spans="10:31" x14ac:dyDescent="0.35">
      <c r="J65" s="14">
        <v>6</v>
      </c>
      <c r="K65" s="2">
        <v>85</v>
      </c>
      <c r="Q65" s="15">
        <v>6</v>
      </c>
      <c r="R65" s="19">
        <v>8</v>
      </c>
      <c r="S65" s="19">
        <v>85</v>
      </c>
      <c r="AC65" s="20">
        <v>6</v>
      </c>
      <c r="AD65" s="4">
        <v>3497.88</v>
      </c>
      <c r="AE65" s="2">
        <v>25</v>
      </c>
    </row>
    <row r="66" spans="10:31" x14ac:dyDescent="0.35">
      <c r="J66" s="8" t="s">
        <v>1021</v>
      </c>
      <c r="K66" s="2">
        <v>6465</v>
      </c>
      <c r="Q66" s="16"/>
      <c r="R66" s="2"/>
      <c r="S66" s="2"/>
    </row>
    <row r="89" spans="1:32" x14ac:dyDescent="0.35">
      <c r="A89" s="47" t="s">
        <v>1050</v>
      </c>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row>
    <row r="91" spans="1:32" x14ac:dyDescent="0.35">
      <c r="B91" s="3" t="s">
        <v>1023</v>
      </c>
      <c r="C91" t="s">
        <v>1022</v>
      </c>
      <c r="F91" s="3" t="s">
        <v>1023</v>
      </c>
      <c r="G91" t="s">
        <v>1051</v>
      </c>
      <c r="J91" s="3" t="s">
        <v>1022</v>
      </c>
      <c r="K91" s="3" t="s">
        <v>1027</v>
      </c>
      <c r="R91" s="3" t="s">
        <v>1022</v>
      </c>
      <c r="S91" s="3" t="s">
        <v>1027</v>
      </c>
      <c r="Y91" s="3" t="s">
        <v>1022</v>
      </c>
      <c r="Z91" s="3" t="s">
        <v>1027</v>
      </c>
    </row>
    <row r="92" spans="1:32" x14ac:dyDescent="0.35">
      <c r="B92" s="8" t="s">
        <v>36</v>
      </c>
      <c r="C92" s="5">
        <v>0.24399999999999999</v>
      </c>
      <c r="F92" s="8" t="s">
        <v>58</v>
      </c>
      <c r="G92" s="5">
        <v>0.16770186335403728</v>
      </c>
      <c r="J92" s="3" t="s">
        <v>1023</v>
      </c>
      <c r="K92" t="s">
        <v>37</v>
      </c>
      <c r="L92" t="s">
        <v>23</v>
      </c>
      <c r="M92" t="s">
        <v>17</v>
      </c>
      <c r="N92" t="s">
        <v>27</v>
      </c>
      <c r="O92" t="s">
        <v>1021</v>
      </c>
      <c r="R92" s="3" t="s">
        <v>1023</v>
      </c>
      <c r="S92" t="s">
        <v>14</v>
      </c>
      <c r="T92" t="s">
        <v>30</v>
      </c>
      <c r="U92" t="s">
        <v>35</v>
      </c>
      <c r="V92" t="s">
        <v>1021</v>
      </c>
      <c r="Y92" s="3" t="s">
        <v>1023</v>
      </c>
      <c r="Z92" t="s">
        <v>24</v>
      </c>
      <c r="AA92" t="s">
        <v>18</v>
      </c>
      <c r="AB92" t="s">
        <v>1021</v>
      </c>
    </row>
    <row r="93" spans="1:32" x14ac:dyDescent="0.35">
      <c r="B93" s="8" t="s">
        <v>15</v>
      </c>
      <c r="C93" s="5">
        <v>0.25600000000000001</v>
      </c>
      <c r="F93" s="8" t="s">
        <v>32</v>
      </c>
      <c r="G93" s="5">
        <v>0.16149068322981366</v>
      </c>
      <c r="J93" s="8" t="s">
        <v>58</v>
      </c>
      <c r="K93" s="5">
        <v>0.14049586776859505</v>
      </c>
      <c r="L93" s="5">
        <v>0.17599999999999999</v>
      </c>
      <c r="M93" s="5">
        <v>0.18699186991869918</v>
      </c>
      <c r="N93" s="5">
        <v>0.15267175572519084</v>
      </c>
      <c r="O93" s="5">
        <v>0.16400000000000001</v>
      </c>
      <c r="R93" s="8" t="s">
        <v>58</v>
      </c>
      <c r="S93" s="5">
        <v>0.16250000000000001</v>
      </c>
      <c r="T93" s="5">
        <v>0.20245398773006135</v>
      </c>
      <c r="U93" s="5">
        <v>0.12994350282485875</v>
      </c>
      <c r="V93" s="5">
        <v>0.16400000000000001</v>
      </c>
      <c r="Y93" s="8" t="s">
        <v>49</v>
      </c>
      <c r="Z93" s="5">
        <v>0.16091954022988506</v>
      </c>
      <c r="AA93" s="5">
        <v>0.15062761506276151</v>
      </c>
      <c r="AB93" s="5">
        <v>0.156</v>
      </c>
    </row>
    <row r="94" spans="1:32" x14ac:dyDescent="0.35">
      <c r="B94" s="8" t="s">
        <v>31</v>
      </c>
      <c r="C94" s="5">
        <v>0.26200000000000001</v>
      </c>
      <c r="F94" s="8" t="s">
        <v>49</v>
      </c>
      <c r="G94" s="5">
        <v>0.16149068322981366</v>
      </c>
      <c r="J94" s="8" t="s">
        <v>32</v>
      </c>
      <c r="K94" s="5">
        <v>0.14049586776859505</v>
      </c>
      <c r="L94" s="5">
        <v>0.14399999999999999</v>
      </c>
      <c r="M94" s="5">
        <v>0.15447154471544716</v>
      </c>
      <c r="N94" s="5">
        <v>0.18320610687022901</v>
      </c>
      <c r="O94" s="5">
        <v>0.156</v>
      </c>
      <c r="R94" s="8" t="s">
        <v>32</v>
      </c>
      <c r="S94" s="5">
        <v>0.16875000000000001</v>
      </c>
      <c r="T94" s="5">
        <v>0.17791411042944785</v>
      </c>
      <c r="U94" s="5">
        <v>0.12429378531073447</v>
      </c>
      <c r="V94" s="5">
        <v>0.156</v>
      </c>
      <c r="Y94" s="8" t="s">
        <v>32</v>
      </c>
      <c r="Z94" s="5">
        <v>0.17624521072796934</v>
      </c>
      <c r="AA94" s="5">
        <v>0.13389121338912133</v>
      </c>
      <c r="AB94" s="5">
        <v>0.156</v>
      </c>
    </row>
    <row r="95" spans="1:32" x14ac:dyDescent="0.35">
      <c r="B95" s="8" t="s">
        <v>21</v>
      </c>
      <c r="C95" s="5">
        <v>0.23799999999999999</v>
      </c>
      <c r="F95" s="8" t="s">
        <v>16</v>
      </c>
      <c r="G95" s="5">
        <v>0.17391304347826086</v>
      </c>
      <c r="J95" s="8" t="s">
        <v>49</v>
      </c>
      <c r="K95" s="5">
        <v>0.18181818181818182</v>
      </c>
      <c r="L95" s="5">
        <v>0.16800000000000001</v>
      </c>
      <c r="M95" s="5">
        <v>0.15447154471544716</v>
      </c>
      <c r="N95" s="5">
        <v>0.12213740458015267</v>
      </c>
      <c r="O95" s="5">
        <v>0.156</v>
      </c>
      <c r="R95" s="8" t="s">
        <v>49</v>
      </c>
      <c r="S95" s="5">
        <v>0.16875000000000001</v>
      </c>
      <c r="T95" s="5">
        <v>0.10429447852760736</v>
      </c>
      <c r="U95" s="5">
        <v>0.19209039548022599</v>
      </c>
      <c r="V95" s="5">
        <v>0.156</v>
      </c>
      <c r="Y95" s="8" t="s">
        <v>22</v>
      </c>
      <c r="Z95" s="5">
        <v>0.19540229885057472</v>
      </c>
      <c r="AA95" s="5">
        <v>0.15481171548117154</v>
      </c>
      <c r="AB95" s="5">
        <v>0.17599999999999999</v>
      </c>
    </row>
    <row r="96" spans="1:32" x14ac:dyDescent="0.35">
      <c r="B96" s="8" t="s">
        <v>1021</v>
      </c>
      <c r="C96" s="13">
        <v>1</v>
      </c>
      <c r="F96" s="8" t="s">
        <v>22</v>
      </c>
      <c r="G96" s="5">
        <v>0.18219461697722567</v>
      </c>
      <c r="J96" s="8" t="s">
        <v>16</v>
      </c>
      <c r="K96" s="5">
        <v>0.15702479338842976</v>
      </c>
      <c r="L96" s="5">
        <v>0.20799999999999999</v>
      </c>
      <c r="M96" s="5">
        <v>0.14634146341463414</v>
      </c>
      <c r="N96" s="5">
        <v>0.16793893129770993</v>
      </c>
      <c r="O96" s="5">
        <v>0.17</v>
      </c>
      <c r="R96" s="8" t="s">
        <v>16</v>
      </c>
      <c r="S96" s="5">
        <v>0.14374999999999999</v>
      </c>
      <c r="T96" s="5">
        <v>0.16564417177914109</v>
      </c>
      <c r="U96" s="5">
        <v>0.19774011299435029</v>
      </c>
      <c r="V96" s="5">
        <v>0.17</v>
      </c>
      <c r="Y96" s="8" t="s">
        <v>42</v>
      </c>
      <c r="Z96" s="5">
        <v>0.17624521072796934</v>
      </c>
      <c r="AA96" s="5">
        <v>0.1799163179916318</v>
      </c>
      <c r="AB96" s="5">
        <v>0.17799999999999999</v>
      </c>
    </row>
    <row r="97" spans="6:28" x14ac:dyDescent="0.35">
      <c r="F97" s="8" t="s">
        <v>42</v>
      </c>
      <c r="G97" s="5">
        <v>0.18426501035196688</v>
      </c>
      <c r="J97" s="8" t="s">
        <v>22</v>
      </c>
      <c r="K97" s="5">
        <v>0.21487603305785125</v>
      </c>
      <c r="L97" s="5">
        <v>0.16</v>
      </c>
      <c r="M97" s="5">
        <v>0.13008130081300814</v>
      </c>
      <c r="N97" s="5">
        <v>0.19847328244274809</v>
      </c>
      <c r="O97" s="5">
        <v>0.17599999999999999</v>
      </c>
      <c r="R97" s="8" t="s">
        <v>22</v>
      </c>
      <c r="S97" s="5">
        <v>0.17499999999999999</v>
      </c>
      <c r="T97" s="5">
        <v>0.17177914110429449</v>
      </c>
      <c r="U97" s="5">
        <v>0.1807909604519774</v>
      </c>
      <c r="V97" s="5">
        <v>0.17599999999999999</v>
      </c>
      <c r="Y97" s="8" t="s">
        <v>58</v>
      </c>
      <c r="Z97" s="5">
        <v>0.13026819923371646</v>
      </c>
      <c r="AA97" s="5">
        <v>0.20083682008368201</v>
      </c>
      <c r="AB97" s="5">
        <v>0.16400000000000001</v>
      </c>
    </row>
    <row r="98" spans="6:28" x14ac:dyDescent="0.35">
      <c r="F98" s="8" t="s">
        <v>1021</v>
      </c>
      <c r="G98" s="5">
        <v>1</v>
      </c>
      <c r="J98" s="8" t="s">
        <v>42</v>
      </c>
      <c r="K98" s="5">
        <v>0.16528925619834711</v>
      </c>
      <c r="L98" s="5">
        <v>0.14399999999999999</v>
      </c>
      <c r="M98" s="5">
        <v>0.22764227642276422</v>
      </c>
      <c r="N98" s="5">
        <v>0.17557251908396945</v>
      </c>
      <c r="O98" s="5">
        <v>0.17799999999999999</v>
      </c>
      <c r="R98" s="8" t="s">
        <v>42</v>
      </c>
      <c r="S98" s="5">
        <v>0.18124999999999999</v>
      </c>
      <c r="T98" s="5">
        <v>0.17791411042944785</v>
      </c>
      <c r="U98" s="5">
        <v>0.1751412429378531</v>
      </c>
      <c r="V98" s="5">
        <v>0.17799999999999999</v>
      </c>
      <c r="Y98" s="8" t="s">
        <v>16</v>
      </c>
      <c r="Z98" s="5">
        <v>0.16091954022988506</v>
      </c>
      <c r="AA98" s="5">
        <v>0.1799163179916318</v>
      </c>
      <c r="AB98" s="5">
        <v>0.17</v>
      </c>
    </row>
    <row r="99" spans="6:28" x14ac:dyDescent="0.35">
      <c r="J99" s="8" t="s">
        <v>1021</v>
      </c>
      <c r="K99" s="13">
        <v>1</v>
      </c>
      <c r="L99" s="13">
        <v>1</v>
      </c>
      <c r="M99" s="13">
        <v>1</v>
      </c>
      <c r="N99" s="13">
        <v>1</v>
      </c>
      <c r="O99" s="5">
        <v>1</v>
      </c>
      <c r="R99" s="8" t="s">
        <v>1021</v>
      </c>
      <c r="S99" s="5">
        <v>1</v>
      </c>
      <c r="T99" s="5">
        <v>1</v>
      </c>
      <c r="U99" s="5">
        <v>1</v>
      </c>
      <c r="V99" s="5">
        <v>1</v>
      </c>
      <c r="Y99" s="8" t="s">
        <v>1021</v>
      </c>
      <c r="Z99" s="5">
        <v>1</v>
      </c>
      <c r="AA99" s="5">
        <v>1</v>
      </c>
      <c r="AB99" s="5">
        <v>1</v>
      </c>
    </row>
    <row r="116" spans="2:21" x14ac:dyDescent="0.35">
      <c r="B116" s="3" t="s">
        <v>1023</v>
      </c>
      <c r="C116" t="s">
        <v>1053</v>
      </c>
      <c r="F116" s="3" t="s">
        <v>1023</v>
      </c>
      <c r="G116" t="s">
        <v>1052</v>
      </c>
      <c r="K116" s="3" t="s">
        <v>1023</v>
      </c>
      <c r="L116" t="s">
        <v>1033</v>
      </c>
      <c r="M116" t="s">
        <v>1054</v>
      </c>
    </row>
    <row r="117" spans="2:21" x14ac:dyDescent="0.35">
      <c r="B117" s="8" t="s">
        <v>58</v>
      </c>
      <c r="C117" s="22">
        <v>5.1097560975609753</v>
      </c>
      <c r="F117" s="8" t="s">
        <v>58</v>
      </c>
      <c r="G117" s="2">
        <v>419</v>
      </c>
      <c r="K117" s="8" t="s">
        <v>24</v>
      </c>
      <c r="L117" s="4">
        <v>209434.82</v>
      </c>
      <c r="M117" s="13"/>
    </row>
    <row r="118" spans="2:21" x14ac:dyDescent="0.35">
      <c r="B118" s="8" t="s">
        <v>32</v>
      </c>
      <c r="C118" s="22">
        <v>5.7307692307692308</v>
      </c>
      <c r="F118" s="8" t="s">
        <v>32</v>
      </c>
      <c r="G118" s="2">
        <v>447</v>
      </c>
      <c r="K118" s="14" t="s">
        <v>42</v>
      </c>
      <c r="L118" s="4">
        <v>32142.46</v>
      </c>
      <c r="M118" s="13">
        <v>0.15347237866177171</v>
      </c>
      <c r="O118" s="14" t="s">
        <v>42</v>
      </c>
      <c r="P118" s="4">
        <v>32142.46</v>
      </c>
      <c r="Q118" s="13">
        <v>0.15347237866177171</v>
      </c>
      <c r="S118" s="3" t="s">
        <v>1022</v>
      </c>
      <c r="T118" s="3" t="s">
        <v>1027</v>
      </c>
    </row>
    <row r="119" spans="2:21" x14ac:dyDescent="0.35">
      <c r="B119" s="8" t="s">
        <v>49</v>
      </c>
      <c r="C119" s="22">
        <v>5.9358974358974361</v>
      </c>
      <c r="F119" s="8" t="s">
        <v>49</v>
      </c>
      <c r="G119" s="2">
        <v>463</v>
      </c>
      <c r="K119" s="14" t="s">
        <v>49</v>
      </c>
      <c r="L119" s="4">
        <v>33813.760000000002</v>
      </c>
      <c r="M119" s="13">
        <v>0.31492480572237225</v>
      </c>
      <c r="O119" s="14" t="s">
        <v>49</v>
      </c>
      <c r="P119" s="4">
        <v>33813.760000000002</v>
      </c>
      <c r="Q119" s="13">
        <v>0.31492480572237225</v>
      </c>
      <c r="S119" s="3" t="s">
        <v>1023</v>
      </c>
      <c r="T119" t="s">
        <v>21</v>
      </c>
      <c r="U119" t="s">
        <v>1021</v>
      </c>
    </row>
    <row r="120" spans="2:21" x14ac:dyDescent="0.35">
      <c r="B120" s="8" t="s">
        <v>16</v>
      </c>
      <c r="C120" s="22">
        <v>5.5176470588235293</v>
      </c>
      <c r="F120" s="8" t="s">
        <v>16</v>
      </c>
      <c r="G120" s="2">
        <v>469</v>
      </c>
      <c r="K120" s="14" t="s">
        <v>58</v>
      </c>
      <c r="L120" s="4">
        <v>24502.92</v>
      </c>
      <c r="M120" s="13">
        <v>0.43192025089237784</v>
      </c>
      <c r="O120" s="14" t="s">
        <v>58</v>
      </c>
      <c r="P120" s="4">
        <v>24502.92</v>
      </c>
      <c r="Q120" s="13">
        <v>0.43192025089237784</v>
      </c>
      <c r="S120" s="8" t="s">
        <v>58</v>
      </c>
      <c r="T120" s="5">
        <v>0.14285714285714285</v>
      </c>
      <c r="U120" s="13">
        <v>0.14285714285714285</v>
      </c>
    </row>
    <row r="121" spans="2:21" x14ac:dyDescent="0.35">
      <c r="B121" s="8" t="s">
        <v>22</v>
      </c>
      <c r="C121" s="22">
        <v>5.4090909090909092</v>
      </c>
      <c r="F121" s="8" t="s">
        <v>22</v>
      </c>
      <c r="G121" s="2">
        <v>476</v>
      </c>
      <c r="K121" s="14" t="s">
        <v>16</v>
      </c>
      <c r="L121" s="4">
        <v>38102.629999999997</v>
      </c>
      <c r="M121" s="13">
        <v>0.61385098237246316</v>
      </c>
      <c r="O121" s="14" t="s">
        <v>16</v>
      </c>
      <c r="P121" s="4">
        <v>38102.629999999997</v>
      </c>
      <c r="Q121" s="13">
        <v>0.61385098237246316</v>
      </c>
      <c r="S121" s="8" t="s">
        <v>32</v>
      </c>
      <c r="T121" s="5">
        <v>0.11764705882352941</v>
      </c>
      <c r="U121" s="13">
        <v>0.11764705882352941</v>
      </c>
    </row>
    <row r="122" spans="2:21" x14ac:dyDescent="0.35">
      <c r="B122" s="8" t="s">
        <v>42</v>
      </c>
      <c r="C122" s="22">
        <v>5.786516853932584</v>
      </c>
      <c r="F122" s="8" t="s">
        <v>42</v>
      </c>
      <c r="G122" s="2">
        <v>515</v>
      </c>
      <c r="K122" s="14" t="s">
        <v>32</v>
      </c>
      <c r="L122" s="4">
        <v>39336.39</v>
      </c>
      <c r="M122" s="13">
        <v>0.80167261585251182</v>
      </c>
      <c r="O122" s="14" t="s">
        <v>32</v>
      </c>
      <c r="P122" s="4">
        <v>39336.39</v>
      </c>
      <c r="Q122" s="13">
        <v>0.80167261585251182</v>
      </c>
      <c r="S122" s="8" t="s">
        <v>49</v>
      </c>
      <c r="T122" s="5">
        <v>0.21008403361344538</v>
      </c>
      <c r="U122" s="13">
        <v>0.21008403361344538</v>
      </c>
    </row>
    <row r="123" spans="2:21" x14ac:dyDescent="0.35">
      <c r="B123" s="8" t="s">
        <v>1021</v>
      </c>
      <c r="C123" s="22">
        <v>5.5780000000000003</v>
      </c>
      <c r="F123" s="8" t="s">
        <v>1021</v>
      </c>
      <c r="G123" s="2">
        <v>2789</v>
      </c>
      <c r="K123" s="14" t="s">
        <v>22</v>
      </c>
      <c r="L123" s="4">
        <v>41536.660000000003</v>
      </c>
      <c r="M123" s="13">
        <v>0.99999999999999989</v>
      </c>
      <c r="O123" s="14" t="s">
        <v>22</v>
      </c>
      <c r="P123" s="4">
        <v>41536.660000000003</v>
      </c>
      <c r="Q123" s="13">
        <v>0.99999999999999989</v>
      </c>
      <c r="S123" s="8" t="s">
        <v>16</v>
      </c>
      <c r="T123" s="5">
        <v>0.15966386554621848</v>
      </c>
      <c r="U123" s="13">
        <v>0.15966386554621848</v>
      </c>
    </row>
    <row r="124" spans="2:21" x14ac:dyDescent="0.35">
      <c r="K124" s="8" t="s">
        <v>1021</v>
      </c>
      <c r="L124" s="4">
        <v>209434.82</v>
      </c>
      <c r="M124" s="13"/>
      <c r="O124" s="9" t="s">
        <v>1059</v>
      </c>
      <c r="P124" s="17">
        <v>209434.82</v>
      </c>
      <c r="Q124" s="23"/>
      <c r="S124" s="8" t="s">
        <v>22</v>
      </c>
      <c r="T124" s="5">
        <v>0.19327731092436976</v>
      </c>
      <c r="U124" s="13">
        <v>0.19327731092436976</v>
      </c>
    </row>
    <row r="125" spans="2:21" x14ac:dyDescent="0.35">
      <c r="S125" s="8" t="s">
        <v>42</v>
      </c>
      <c r="T125" s="5">
        <v>0.17647058823529413</v>
      </c>
      <c r="U125" s="13">
        <v>0.17647058823529413</v>
      </c>
    </row>
    <row r="126" spans="2:21" x14ac:dyDescent="0.35">
      <c r="S126" s="8" t="s">
        <v>1021</v>
      </c>
      <c r="T126" s="13">
        <v>1</v>
      </c>
      <c r="U126" s="13">
        <v>1</v>
      </c>
    </row>
  </sheetData>
  <mergeCells count="5">
    <mergeCell ref="A8:Z8"/>
    <mergeCell ref="A1:Z1"/>
    <mergeCell ref="A44:AA44"/>
    <mergeCell ref="O17:W17"/>
    <mergeCell ref="A89:AF89"/>
  </mergeCells>
  <conditionalFormatting pivot="1" sqref="P12:V14">
    <cfRule type="colorScale" priority="4">
      <colorScale>
        <cfvo type="min"/>
        <cfvo type="max"/>
        <color rgb="FFFCFCFF"/>
        <color rgb="FFF8696B"/>
      </colorScale>
    </cfRule>
  </conditionalFormatting>
  <conditionalFormatting pivot="1" sqref="P12:V14">
    <cfRule type="colorScale" priority="3">
      <colorScale>
        <cfvo type="min"/>
        <cfvo type="max"/>
        <color theme="0" tint="-0.14999847407452621"/>
        <color rgb="FFC5B358"/>
      </colorScale>
    </cfRule>
  </conditionalFormatting>
  <conditionalFormatting sqref="G11">
    <cfRule type="colorScale" priority="2">
      <colorScale>
        <cfvo type="min"/>
        <cfvo type="max"/>
        <color rgb="FFFF7128"/>
        <color rgb="FFFFEF9C"/>
      </colorScale>
    </cfRule>
  </conditionalFormatting>
  <conditionalFormatting pivot="1" sqref="G13:I13 G14:I14 G15:I15 G16:I16 G17:I17 G18:I18 G19:I19 G20:I20 G21:I21 G22:I22 G23:I23 G24:I24 G25:I25 G26:I26 G27:I27 G28:I28 G29:I29 G30:I30">
    <cfRule type="colorScale" priority="1">
      <colorScale>
        <cfvo type="min"/>
        <cfvo type="max"/>
        <color rgb="FFFF7128"/>
        <color rgb="FFFFEF9C"/>
      </colorScale>
    </cfRule>
  </conditionalFormatting>
  <pageMargins left="0.7" right="0.7" top="0.75" bottom="0.75" header="0.3" footer="0.3"/>
  <pageSetup orientation="portrait" r:id="rId33"/>
  <drawing r:id="rId34"/>
  <extLst>
    <ext xmlns:x14="http://schemas.microsoft.com/office/spreadsheetml/2009/9/main" uri="{A8765BA9-456A-4dab-B4F3-ACF838C121DE}">
      <x14:slicerList>
        <x14:slicer r:id="rId35"/>
      </x14:slicerList>
    </ext>
    <ext xmlns:x15="http://schemas.microsoft.com/office/spreadsheetml/2010/11/main" uri="{7E03D99C-DC04-49d9-9315-930204A7B6E9}">
      <x15:timelineRefs>
        <x15:timelineRef r:id="rId3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selection activeCell="D18" sqref="D18"/>
    </sheetView>
  </sheetViews>
  <sheetFormatPr defaultRowHeight="14.5" x14ac:dyDescent="0.35"/>
  <cols>
    <col min="1" max="1" width="11.81640625" customWidth="1"/>
    <col min="2" max="2" width="13.26953125" customWidth="1"/>
    <col min="3" max="3" width="14" style="1" customWidth="1"/>
    <col min="4" max="4" width="14.453125" style="1" customWidth="1"/>
    <col min="5" max="5" width="15.90625" customWidth="1"/>
    <col min="6" max="8" width="15.90625" style="2" customWidth="1"/>
    <col min="9" max="9" width="17.36328125" customWidth="1"/>
    <col min="10" max="10" width="17.453125" customWidth="1"/>
    <col min="11" max="11" width="25.54296875" customWidth="1"/>
    <col min="12" max="12" width="15.26953125" customWidth="1"/>
    <col min="13" max="13" width="17" customWidth="1"/>
    <col min="14" max="14" width="20.81640625" customWidth="1"/>
    <col min="15" max="15" width="17.26953125" customWidth="1"/>
    <col min="16" max="17" width="19.453125" customWidth="1"/>
    <col min="18" max="19" width="18.81640625" customWidth="1"/>
  </cols>
  <sheetData>
    <row r="1" spans="1:19" x14ac:dyDescent="0.35">
      <c r="A1" t="s">
        <v>0</v>
      </c>
      <c r="B1" t="s">
        <v>1</v>
      </c>
      <c r="C1" s="1" t="s">
        <v>2</v>
      </c>
      <c r="D1" s="1" t="s">
        <v>3</v>
      </c>
      <c r="E1" t="s">
        <v>4</v>
      </c>
      <c r="F1" s="2" t="s">
        <v>1030</v>
      </c>
      <c r="G1" s="2" t="s">
        <v>1031</v>
      </c>
      <c r="H1" s="2" t="s">
        <v>1032</v>
      </c>
      <c r="I1" t="s">
        <v>5</v>
      </c>
      <c r="J1" t="s">
        <v>6</v>
      </c>
      <c r="K1" t="s">
        <v>7</v>
      </c>
      <c r="L1" t="s">
        <v>8</v>
      </c>
      <c r="M1" t="s">
        <v>9</v>
      </c>
      <c r="N1" t="s">
        <v>1015</v>
      </c>
      <c r="O1" t="s">
        <v>10</v>
      </c>
      <c r="P1" t="s">
        <v>1014</v>
      </c>
      <c r="Q1" t="s">
        <v>1019</v>
      </c>
      <c r="R1" t="s">
        <v>11</v>
      </c>
      <c r="S1" t="s">
        <v>1020</v>
      </c>
    </row>
    <row r="2" spans="1:19" x14ac:dyDescent="0.35">
      <c r="A2" t="s">
        <v>12</v>
      </c>
      <c r="B2" t="s">
        <v>13</v>
      </c>
      <c r="C2" s="1">
        <v>45292</v>
      </c>
      <c r="D2" s="1">
        <v>45317</v>
      </c>
      <c r="E2" s="1">
        <v>45322</v>
      </c>
      <c r="F2" s="2">
        <f t="shared" ref="F2:F65" si="0">WEEKNUM(C2) - WEEKNUM(DATE(YEAR(C2), MONTH(C2), 1)) + 1</f>
        <v>1</v>
      </c>
      <c r="G2" s="2" t="str">
        <f t="shared" ref="G2:G65" si="1">TEXT(C2,"dddd")</f>
        <v>Monday</v>
      </c>
      <c r="H2" s="2" t="str">
        <f t="shared" ref="H2:H65" si="2">TEXT(C2, "mmmm")</f>
        <v>January</v>
      </c>
      <c r="I2" t="s">
        <v>14</v>
      </c>
      <c r="J2" t="s">
        <v>15</v>
      </c>
      <c r="K2" t="s">
        <v>16</v>
      </c>
      <c r="L2" t="s">
        <v>17</v>
      </c>
      <c r="M2">
        <v>202.33</v>
      </c>
      <c r="N2">
        <f t="shared" ref="N2:N65" si="3">_xlfn.DAYS(E2,D2)</f>
        <v>5</v>
      </c>
      <c r="O2">
        <v>5</v>
      </c>
      <c r="P2" t="str">
        <f>IF(O2&gt;0, "Yes","No")</f>
        <v>Yes</v>
      </c>
      <c r="Q2">
        <f>IF(Booking_Data[[#This Row],[Discounted Booking]]="Yes",1,0)</f>
        <v>1</v>
      </c>
      <c r="R2" t="s">
        <v>18</v>
      </c>
      <c r="S2">
        <f>IF(Booking_Data[[#This Row],[Cancellation Status]]="yes",1,0)</f>
        <v>1</v>
      </c>
    </row>
    <row r="3" spans="1:19" x14ac:dyDescent="0.35">
      <c r="A3" t="s">
        <v>19</v>
      </c>
      <c r="B3" t="s">
        <v>20</v>
      </c>
      <c r="C3" s="1">
        <v>45292</v>
      </c>
      <c r="D3" s="1">
        <v>45305</v>
      </c>
      <c r="E3" s="1">
        <v>45312</v>
      </c>
      <c r="F3" s="2">
        <f t="shared" si="0"/>
        <v>1</v>
      </c>
      <c r="G3" s="2" t="str">
        <f t="shared" si="1"/>
        <v>Monday</v>
      </c>
      <c r="H3" s="2" t="str">
        <f t="shared" si="2"/>
        <v>January</v>
      </c>
      <c r="I3" t="s">
        <v>14</v>
      </c>
      <c r="J3" t="s">
        <v>21</v>
      </c>
      <c r="K3" t="s">
        <v>22</v>
      </c>
      <c r="L3" t="s">
        <v>23</v>
      </c>
      <c r="M3">
        <v>1219.04</v>
      </c>
      <c r="N3">
        <f t="shared" si="3"/>
        <v>7</v>
      </c>
      <c r="O3">
        <v>10</v>
      </c>
      <c r="P3" t="str">
        <f t="shared" ref="P3:P66" si="4">IF(O3&gt;0, "Yes","No")</f>
        <v>Yes</v>
      </c>
      <c r="Q3">
        <f>IF(Booking_Data[[#This Row],[Discounted Booking]]="Yes",1,0)</f>
        <v>1</v>
      </c>
      <c r="R3" t="s">
        <v>24</v>
      </c>
      <c r="S3">
        <f>IF(Booking_Data[[#This Row],[Cancellation Status]]="yes",1,0)</f>
        <v>0</v>
      </c>
    </row>
    <row r="4" spans="1:19" x14ac:dyDescent="0.35">
      <c r="A4" t="s">
        <v>25</v>
      </c>
      <c r="B4" t="s">
        <v>26</v>
      </c>
      <c r="C4" s="1">
        <v>45293</v>
      </c>
      <c r="D4" s="1">
        <v>45312</v>
      </c>
      <c r="E4" s="1">
        <v>45314</v>
      </c>
      <c r="F4" s="2">
        <f t="shared" si="0"/>
        <v>1</v>
      </c>
      <c r="G4" s="2" t="str">
        <f t="shared" si="1"/>
        <v>Tuesday</v>
      </c>
      <c r="H4" s="2" t="str">
        <f t="shared" si="2"/>
        <v>January</v>
      </c>
      <c r="I4" t="s">
        <v>14</v>
      </c>
      <c r="J4" t="s">
        <v>15</v>
      </c>
      <c r="K4" t="s">
        <v>22</v>
      </c>
      <c r="L4" t="s">
        <v>27</v>
      </c>
      <c r="M4">
        <v>427.16</v>
      </c>
      <c r="N4">
        <f t="shared" si="3"/>
        <v>2</v>
      </c>
      <c r="O4">
        <v>10</v>
      </c>
      <c r="P4" t="str">
        <f t="shared" si="4"/>
        <v>Yes</v>
      </c>
      <c r="Q4">
        <f>IF(Booking_Data[[#This Row],[Discounted Booking]]="Yes",1,0)</f>
        <v>1</v>
      </c>
      <c r="R4" t="s">
        <v>24</v>
      </c>
      <c r="S4">
        <f>IF(Booking_Data[[#This Row],[Cancellation Status]]="yes",1,0)</f>
        <v>0</v>
      </c>
    </row>
    <row r="5" spans="1:19" x14ac:dyDescent="0.35">
      <c r="A5" t="s">
        <v>28</v>
      </c>
      <c r="B5" t="s">
        <v>29</v>
      </c>
      <c r="C5" s="1">
        <v>45293</v>
      </c>
      <c r="D5" s="1">
        <v>45319</v>
      </c>
      <c r="E5" s="1">
        <v>45328</v>
      </c>
      <c r="F5" s="2">
        <f t="shared" si="0"/>
        <v>1</v>
      </c>
      <c r="G5" s="2" t="str">
        <f t="shared" si="1"/>
        <v>Tuesday</v>
      </c>
      <c r="H5" s="2" t="str">
        <f t="shared" si="2"/>
        <v>January</v>
      </c>
      <c r="I5" t="s">
        <v>30</v>
      </c>
      <c r="J5" t="s">
        <v>31</v>
      </c>
      <c r="K5" t="s">
        <v>32</v>
      </c>
      <c r="L5" t="s">
        <v>23</v>
      </c>
      <c r="M5">
        <v>450.89</v>
      </c>
      <c r="N5">
        <f t="shared" si="3"/>
        <v>9</v>
      </c>
      <c r="O5">
        <v>20</v>
      </c>
      <c r="P5" t="str">
        <f t="shared" si="4"/>
        <v>Yes</v>
      </c>
      <c r="Q5">
        <f>IF(Booking_Data[[#This Row],[Discounted Booking]]="Yes",1,0)</f>
        <v>1</v>
      </c>
      <c r="R5" t="s">
        <v>18</v>
      </c>
      <c r="S5">
        <f>IF(Booking_Data[[#This Row],[Cancellation Status]]="yes",1,0)</f>
        <v>1</v>
      </c>
    </row>
    <row r="6" spans="1:19" x14ac:dyDescent="0.35">
      <c r="A6" t="s">
        <v>33</v>
      </c>
      <c r="B6" t="s">
        <v>34</v>
      </c>
      <c r="C6" s="1">
        <v>45293</v>
      </c>
      <c r="D6" s="1">
        <v>45311</v>
      </c>
      <c r="E6" s="1">
        <v>45314</v>
      </c>
      <c r="F6" s="2">
        <f t="shared" si="0"/>
        <v>1</v>
      </c>
      <c r="G6" s="2" t="str">
        <f t="shared" si="1"/>
        <v>Tuesday</v>
      </c>
      <c r="H6" s="2" t="str">
        <f t="shared" si="2"/>
        <v>January</v>
      </c>
      <c r="I6" t="s">
        <v>35</v>
      </c>
      <c r="J6" t="s">
        <v>36</v>
      </c>
      <c r="K6" t="s">
        <v>16</v>
      </c>
      <c r="L6" t="s">
        <v>37</v>
      </c>
      <c r="M6">
        <v>863.59</v>
      </c>
      <c r="N6">
        <f t="shared" si="3"/>
        <v>3</v>
      </c>
      <c r="O6">
        <v>20</v>
      </c>
      <c r="P6" t="str">
        <f t="shared" si="4"/>
        <v>Yes</v>
      </c>
      <c r="Q6">
        <f>IF(Booking_Data[[#This Row],[Discounted Booking]]="Yes",1,0)</f>
        <v>1</v>
      </c>
      <c r="R6" t="s">
        <v>18</v>
      </c>
      <c r="S6">
        <f>IF(Booking_Data[[#This Row],[Cancellation Status]]="yes",1,0)</f>
        <v>1</v>
      </c>
    </row>
    <row r="7" spans="1:19" x14ac:dyDescent="0.35">
      <c r="A7" t="s">
        <v>38</v>
      </c>
      <c r="B7" t="s">
        <v>39</v>
      </c>
      <c r="C7" s="1">
        <v>45293</v>
      </c>
      <c r="D7" s="1">
        <v>45317</v>
      </c>
      <c r="E7" s="1">
        <v>45322</v>
      </c>
      <c r="F7" s="2">
        <f t="shared" si="0"/>
        <v>1</v>
      </c>
      <c r="G7" s="2" t="str">
        <f t="shared" si="1"/>
        <v>Tuesday</v>
      </c>
      <c r="H7" s="2" t="str">
        <f t="shared" si="2"/>
        <v>January</v>
      </c>
      <c r="I7" t="s">
        <v>30</v>
      </c>
      <c r="J7" t="s">
        <v>21</v>
      </c>
      <c r="K7" t="s">
        <v>16</v>
      </c>
      <c r="L7" t="s">
        <v>17</v>
      </c>
      <c r="M7">
        <v>162.11000000000001</v>
      </c>
      <c r="N7">
        <f t="shared" si="3"/>
        <v>5</v>
      </c>
      <c r="O7">
        <v>10</v>
      </c>
      <c r="P7" t="str">
        <f t="shared" si="4"/>
        <v>Yes</v>
      </c>
      <c r="Q7">
        <f>IF(Booking_Data[[#This Row],[Discounted Booking]]="Yes",1,0)</f>
        <v>1</v>
      </c>
      <c r="R7" t="s">
        <v>24</v>
      </c>
      <c r="S7">
        <f>IF(Booking_Data[[#This Row],[Cancellation Status]]="yes",1,0)</f>
        <v>0</v>
      </c>
    </row>
    <row r="8" spans="1:19" x14ac:dyDescent="0.35">
      <c r="A8" t="s">
        <v>40</v>
      </c>
      <c r="B8" t="s">
        <v>41</v>
      </c>
      <c r="C8" s="1">
        <v>45294</v>
      </c>
      <c r="D8" s="1">
        <v>45301</v>
      </c>
      <c r="E8" s="1">
        <v>45306</v>
      </c>
      <c r="F8" s="2">
        <f t="shared" si="0"/>
        <v>1</v>
      </c>
      <c r="G8" s="2" t="str">
        <f t="shared" si="1"/>
        <v>Wednesday</v>
      </c>
      <c r="H8" s="2" t="str">
        <f t="shared" si="2"/>
        <v>January</v>
      </c>
      <c r="I8" t="s">
        <v>14</v>
      </c>
      <c r="J8" t="s">
        <v>36</v>
      </c>
      <c r="K8" t="s">
        <v>42</v>
      </c>
      <c r="L8" t="s">
        <v>17</v>
      </c>
      <c r="M8">
        <v>905.08</v>
      </c>
      <c r="N8">
        <f t="shared" si="3"/>
        <v>5</v>
      </c>
      <c r="O8">
        <v>0</v>
      </c>
      <c r="P8" t="str">
        <f t="shared" si="4"/>
        <v>No</v>
      </c>
      <c r="Q8">
        <f>IF(Booking_Data[[#This Row],[Discounted Booking]]="Yes",1,0)</f>
        <v>0</v>
      </c>
      <c r="R8" t="s">
        <v>24</v>
      </c>
      <c r="S8">
        <f>IF(Booking_Data[[#This Row],[Cancellation Status]]="yes",1,0)</f>
        <v>0</v>
      </c>
    </row>
    <row r="9" spans="1:19" x14ac:dyDescent="0.35">
      <c r="A9" t="s">
        <v>43</v>
      </c>
      <c r="B9" t="s">
        <v>44</v>
      </c>
      <c r="C9" s="1">
        <v>45294</v>
      </c>
      <c r="D9" s="1">
        <v>45296</v>
      </c>
      <c r="E9" s="1">
        <v>45306</v>
      </c>
      <c r="F9" s="2">
        <f t="shared" si="0"/>
        <v>1</v>
      </c>
      <c r="G9" s="2" t="str">
        <f t="shared" si="1"/>
        <v>Wednesday</v>
      </c>
      <c r="H9" s="2" t="str">
        <f t="shared" si="2"/>
        <v>January</v>
      </c>
      <c r="I9" t="s">
        <v>30</v>
      </c>
      <c r="J9" t="s">
        <v>21</v>
      </c>
      <c r="K9" t="s">
        <v>22</v>
      </c>
      <c r="L9" t="s">
        <v>37</v>
      </c>
      <c r="M9">
        <v>576.01</v>
      </c>
      <c r="N9">
        <f t="shared" si="3"/>
        <v>10</v>
      </c>
      <c r="O9">
        <v>0</v>
      </c>
      <c r="P9" t="str">
        <f t="shared" si="4"/>
        <v>No</v>
      </c>
      <c r="Q9">
        <f>IF(Booking_Data[[#This Row],[Discounted Booking]]="Yes",1,0)</f>
        <v>0</v>
      </c>
      <c r="R9" t="s">
        <v>18</v>
      </c>
      <c r="S9">
        <f>IF(Booking_Data[[#This Row],[Cancellation Status]]="yes",1,0)</f>
        <v>1</v>
      </c>
    </row>
    <row r="10" spans="1:19" x14ac:dyDescent="0.35">
      <c r="A10" t="s">
        <v>45</v>
      </c>
      <c r="B10" t="s">
        <v>46</v>
      </c>
      <c r="C10" s="1">
        <v>45294</v>
      </c>
      <c r="D10" s="1">
        <v>45320</v>
      </c>
      <c r="E10" s="1">
        <v>45327</v>
      </c>
      <c r="F10" s="2">
        <f t="shared" si="0"/>
        <v>1</v>
      </c>
      <c r="G10" s="2" t="str">
        <f t="shared" si="1"/>
        <v>Wednesday</v>
      </c>
      <c r="H10" s="2" t="str">
        <f t="shared" si="2"/>
        <v>January</v>
      </c>
      <c r="I10" t="s">
        <v>14</v>
      </c>
      <c r="J10" t="s">
        <v>36</v>
      </c>
      <c r="K10" t="s">
        <v>16</v>
      </c>
      <c r="L10" t="s">
        <v>23</v>
      </c>
      <c r="M10">
        <v>135.9</v>
      </c>
      <c r="N10">
        <f t="shared" si="3"/>
        <v>7</v>
      </c>
      <c r="O10">
        <v>20</v>
      </c>
      <c r="P10" t="str">
        <f t="shared" si="4"/>
        <v>Yes</v>
      </c>
      <c r="Q10">
        <f>IF(Booking_Data[[#This Row],[Discounted Booking]]="Yes",1,0)</f>
        <v>1</v>
      </c>
      <c r="R10" t="s">
        <v>18</v>
      </c>
      <c r="S10">
        <f>IF(Booking_Data[[#This Row],[Cancellation Status]]="yes",1,0)</f>
        <v>1</v>
      </c>
    </row>
    <row r="11" spans="1:19" x14ac:dyDescent="0.35">
      <c r="A11" t="s">
        <v>47</v>
      </c>
      <c r="B11" t="s">
        <v>48</v>
      </c>
      <c r="C11" s="1">
        <v>45295</v>
      </c>
      <c r="D11" s="1">
        <v>45322</v>
      </c>
      <c r="E11" s="1">
        <v>45328</v>
      </c>
      <c r="F11" s="2">
        <f t="shared" si="0"/>
        <v>1</v>
      </c>
      <c r="G11" s="2" t="str">
        <f t="shared" si="1"/>
        <v>Thursday</v>
      </c>
      <c r="H11" s="2" t="str">
        <f t="shared" si="2"/>
        <v>January</v>
      </c>
      <c r="I11" t="s">
        <v>30</v>
      </c>
      <c r="J11" t="s">
        <v>36</v>
      </c>
      <c r="K11" t="s">
        <v>49</v>
      </c>
      <c r="L11" t="s">
        <v>27</v>
      </c>
      <c r="M11">
        <v>393</v>
      </c>
      <c r="N11">
        <f t="shared" si="3"/>
        <v>6</v>
      </c>
      <c r="O11">
        <v>20</v>
      </c>
      <c r="P11" t="str">
        <f t="shared" si="4"/>
        <v>Yes</v>
      </c>
      <c r="Q11">
        <f>IF(Booking_Data[[#This Row],[Discounted Booking]]="Yes",1,0)</f>
        <v>1</v>
      </c>
      <c r="R11" t="s">
        <v>18</v>
      </c>
      <c r="S11">
        <f>IF(Booking_Data[[#This Row],[Cancellation Status]]="yes",1,0)</f>
        <v>1</v>
      </c>
    </row>
    <row r="12" spans="1:19" x14ac:dyDescent="0.35">
      <c r="A12" t="s">
        <v>50</v>
      </c>
      <c r="B12" t="s">
        <v>51</v>
      </c>
      <c r="C12" s="1">
        <v>45295</v>
      </c>
      <c r="D12" s="1">
        <v>45296</v>
      </c>
      <c r="E12" s="1">
        <v>45298</v>
      </c>
      <c r="F12" s="2">
        <f t="shared" si="0"/>
        <v>1</v>
      </c>
      <c r="G12" s="2" t="str">
        <f t="shared" si="1"/>
        <v>Thursday</v>
      </c>
      <c r="H12" s="2" t="str">
        <f t="shared" si="2"/>
        <v>January</v>
      </c>
      <c r="I12" t="s">
        <v>14</v>
      </c>
      <c r="J12" t="s">
        <v>21</v>
      </c>
      <c r="K12" t="s">
        <v>49</v>
      </c>
      <c r="L12" t="s">
        <v>37</v>
      </c>
      <c r="M12">
        <v>1074.04</v>
      </c>
      <c r="N12">
        <f t="shared" si="3"/>
        <v>2</v>
      </c>
      <c r="O12">
        <v>10</v>
      </c>
      <c r="P12" t="str">
        <f t="shared" si="4"/>
        <v>Yes</v>
      </c>
      <c r="Q12">
        <f>IF(Booking_Data[[#This Row],[Discounted Booking]]="Yes",1,0)</f>
        <v>1</v>
      </c>
      <c r="R12" t="s">
        <v>24</v>
      </c>
      <c r="S12">
        <f>IF(Booking_Data[[#This Row],[Cancellation Status]]="yes",1,0)</f>
        <v>0</v>
      </c>
    </row>
    <row r="13" spans="1:19" x14ac:dyDescent="0.35">
      <c r="A13" t="s">
        <v>52</v>
      </c>
      <c r="B13" t="s">
        <v>53</v>
      </c>
      <c r="C13" s="1">
        <v>45295</v>
      </c>
      <c r="D13" s="1">
        <v>45324</v>
      </c>
      <c r="E13" s="1">
        <v>45332</v>
      </c>
      <c r="F13" s="2">
        <f t="shared" si="0"/>
        <v>1</v>
      </c>
      <c r="G13" s="2" t="str">
        <f t="shared" si="1"/>
        <v>Thursday</v>
      </c>
      <c r="H13" s="2" t="str">
        <f t="shared" si="2"/>
        <v>January</v>
      </c>
      <c r="I13" t="s">
        <v>30</v>
      </c>
      <c r="J13" t="s">
        <v>21</v>
      </c>
      <c r="K13" t="s">
        <v>22</v>
      </c>
      <c r="L13" t="s">
        <v>27</v>
      </c>
      <c r="M13">
        <v>1335.65</v>
      </c>
      <c r="N13">
        <f t="shared" si="3"/>
        <v>8</v>
      </c>
      <c r="O13">
        <v>5</v>
      </c>
      <c r="P13" t="str">
        <f t="shared" si="4"/>
        <v>Yes</v>
      </c>
      <c r="Q13">
        <f>IF(Booking_Data[[#This Row],[Discounted Booking]]="Yes",1,0)</f>
        <v>1</v>
      </c>
      <c r="R13" t="s">
        <v>24</v>
      </c>
      <c r="S13">
        <f>IF(Booking_Data[[#This Row],[Cancellation Status]]="yes",1,0)</f>
        <v>0</v>
      </c>
    </row>
    <row r="14" spans="1:19" x14ac:dyDescent="0.35">
      <c r="A14" t="s">
        <v>54</v>
      </c>
      <c r="B14" t="s">
        <v>55</v>
      </c>
      <c r="C14" s="1">
        <v>45295</v>
      </c>
      <c r="D14" s="1">
        <v>45297</v>
      </c>
      <c r="E14" s="1">
        <v>45298</v>
      </c>
      <c r="F14" s="2">
        <f t="shared" si="0"/>
        <v>1</v>
      </c>
      <c r="G14" s="2" t="str">
        <f t="shared" si="1"/>
        <v>Thursday</v>
      </c>
      <c r="H14" s="2" t="str">
        <f t="shared" si="2"/>
        <v>January</v>
      </c>
      <c r="I14" t="s">
        <v>35</v>
      </c>
      <c r="J14" t="s">
        <v>15</v>
      </c>
      <c r="K14" t="s">
        <v>42</v>
      </c>
      <c r="L14" t="s">
        <v>37</v>
      </c>
      <c r="M14">
        <v>693.55</v>
      </c>
      <c r="N14">
        <f t="shared" si="3"/>
        <v>1</v>
      </c>
      <c r="O14">
        <v>10</v>
      </c>
      <c r="P14" t="str">
        <f t="shared" si="4"/>
        <v>Yes</v>
      </c>
      <c r="Q14">
        <f>IF(Booking_Data[[#This Row],[Discounted Booking]]="Yes",1,0)</f>
        <v>1</v>
      </c>
      <c r="R14" t="s">
        <v>18</v>
      </c>
      <c r="S14">
        <f>IF(Booking_Data[[#This Row],[Cancellation Status]]="yes",1,0)</f>
        <v>1</v>
      </c>
    </row>
    <row r="15" spans="1:19" x14ac:dyDescent="0.35">
      <c r="A15" t="s">
        <v>56</v>
      </c>
      <c r="B15" t="s">
        <v>57</v>
      </c>
      <c r="C15" s="1">
        <v>45295</v>
      </c>
      <c r="D15" s="1">
        <v>45311</v>
      </c>
      <c r="E15" s="1">
        <v>45315</v>
      </c>
      <c r="F15" s="2">
        <f t="shared" si="0"/>
        <v>1</v>
      </c>
      <c r="G15" s="2" t="str">
        <f t="shared" si="1"/>
        <v>Thursday</v>
      </c>
      <c r="H15" s="2" t="str">
        <f t="shared" si="2"/>
        <v>January</v>
      </c>
      <c r="I15" t="s">
        <v>14</v>
      </c>
      <c r="J15" t="s">
        <v>15</v>
      </c>
      <c r="K15" t="s">
        <v>58</v>
      </c>
      <c r="L15" t="s">
        <v>17</v>
      </c>
      <c r="M15">
        <v>730.06</v>
      </c>
      <c r="N15">
        <f t="shared" si="3"/>
        <v>4</v>
      </c>
      <c r="O15">
        <v>25</v>
      </c>
      <c r="P15" t="str">
        <f t="shared" si="4"/>
        <v>Yes</v>
      </c>
      <c r="Q15">
        <f>IF(Booking_Data[[#This Row],[Discounted Booking]]="Yes",1,0)</f>
        <v>1</v>
      </c>
      <c r="R15" t="s">
        <v>18</v>
      </c>
      <c r="S15">
        <f>IF(Booking_Data[[#This Row],[Cancellation Status]]="yes",1,0)</f>
        <v>1</v>
      </c>
    </row>
    <row r="16" spans="1:19" x14ac:dyDescent="0.35">
      <c r="A16" t="s">
        <v>59</v>
      </c>
      <c r="B16" t="s">
        <v>60</v>
      </c>
      <c r="C16" s="1">
        <v>45295</v>
      </c>
      <c r="D16" s="1">
        <v>45318</v>
      </c>
      <c r="E16" s="1">
        <v>45328</v>
      </c>
      <c r="F16" s="2">
        <f t="shared" si="0"/>
        <v>1</v>
      </c>
      <c r="G16" s="2" t="str">
        <f t="shared" si="1"/>
        <v>Thursday</v>
      </c>
      <c r="H16" s="2" t="str">
        <f t="shared" si="2"/>
        <v>January</v>
      </c>
      <c r="I16" t="s">
        <v>14</v>
      </c>
      <c r="J16" t="s">
        <v>21</v>
      </c>
      <c r="K16" t="s">
        <v>32</v>
      </c>
      <c r="L16" t="s">
        <v>27</v>
      </c>
      <c r="M16">
        <v>1404.11</v>
      </c>
      <c r="N16">
        <f t="shared" si="3"/>
        <v>10</v>
      </c>
      <c r="O16">
        <v>10</v>
      </c>
      <c r="P16" t="str">
        <f t="shared" si="4"/>
        <v>Yes</v>
      </c>
      <c r="Q16">
        <f>IF(Booking_Data[[#This Row],[Discounted Booking]]="Yes",1,0)</f>
        <v>1</v>
      </c>
      <c r="R16" t="s">
        <v>18</v>
      </c>
      <c r="S16">
        <f>IF(Booking_Data[[#This Row],[Cancellation Status]]="yes",1,0)</f>
        <v>1</v>
      </c>
    </row>
    <row r="17" spans="1:19" x14ac:dyDescent="0.35">
      <c r="A17" t="s">
        <v>61</v>
      </c>
      <c r="B17" t="s">
        <v>62</v>
      </c>
      <c r="C17" s="1">
        <v>45295</v>
      </c>
      <c r="D17" s="1">
        <v>45306</v>
      </c>
      <c r="E17" s="1">
        <v>45307</v>
      </c>
      <c r="F17" s="2">
        <f t="shared" si="0"/>
        <v>1</v>
      </c>
      <c r="G17" s="2" t="str">
        <f t="shared" si="1"/>
        <v>Thursday</v>
      </c>
      <c r="H17" s="2" t="str">
        <f t="shared" si="2"/>
        <v>January</v>
      </c>
      <c r="I17" t="s">
        <v>30</v>
      </c>
      <c r="J17" t="s">
        <v>21</v>
      </c>
      <c r="K17" t="s">
        <v>32</v>
      </c>
      <c r="L17" t="s">
        <v>27</v>
      </c>
      <c r="M17">
        <v>1165.72</v>
      </c>
      <c r="N17">
        <f t="shared" si="3"/>
        <v>1</v>
      </c>
      <c r="O17">
        <v>10</v>
      </c>
      <c r="P17" t="str">
        <f t="shared" si="4"/>
        <v>Yes</v>
      </c>
      <c r="Q17">
        <f>IF(Booking_Data[[#This Row],[Discounted Booking]]="Yes",1,0)</f>
        <v>1</v>
      </c>
      <c r="R17" t="s">
        <v>24</v>
      </c>
      <c r="S17">
        <f>IF(Booking_Data[[#This Row],[Cancellation Status]]="yes",1,0)</f>
        <v>0</v>
      </c>
    </row>
    <row r="18" spans="1:19" x14ac:dyDescent="0.35">
      <c r="A18" t="s">
        <v>63</v>
      </c>
      <c r="B18" t="s">
        <v>64</v>
      </c>
      <c r="C18" s="1">
        <v>45296</v>
      </c>
      <c r="D18" s="1">
        <v>45300</v>
      </c>
      <c r="E18" s="1">
        <v>45309</v>
      </c>
      <c r="F18" s="2">
        <f t="shared" si="0"/>
        <v>1</v>
      </c>
      <c r="G18" s="2" t="str">
        <f t="shared" si="1"/>
        <v>Friday</v>
      </c>
      <c r="H18" s="2" t="str">
        <f t="shared" si="2"/>
        <v>January</v>
      </c>
      <c r="I18" t="s">
        <v>30</v>
      </c>
      <c r="J18" t="s">
        <v>15</v>
      </c>
      <c r="K18" t="s">
        <v>58</v>
      </c>
      <c r="L18" t="s">
        <v>23</v>
      </c>
      <c r="M18">
        <v>1332.97</v>
      </c>
      <c r="N18">
        <f t="shared" si="3"/>
        <v>9</v>
      </c>
      <c r="O18">
        <v>15</v>
      </c>
      <c r="P18" t="str">
        <f t="shared" si="4"/>
        <v>Yes</v>
      </c>
      <c r="Q18">
        <f>IF(Booking_Data[[#This Row],[Discounted Booking]]="Yes",1,0)</f>
        <v>1</v>
      </c>
      <c r="R18" t="s">
        <v>18</v>
      </c>
      <c r="S18">
        <f>IF(Booking_Data[[#This Row],[Cancellation Status]]="yes",1,0)</f>
        <v>1</v>
      </c>
    </row>
    <row r="19" spans="1:19" x14ac:dyDescent="0.35">
      <c r="A19" t="s">
        <v>65</v>
      </c>
      <c r="B19" t="s">
        <v>66</v>
      </c>
      <c r="C19" s="1">
        <v>45296</v>
      </c>
      <c r="D19" s="1">
        <v>45325</v>
      </c>
      <c r="E19" s="1">
        <v>45328</v>
      </c>
      <c r="F19" s="2">
        <f t="shared" si="0"/>
        <v>1</v>
      </c>
      <c r="G19" s="2" t="str">
        <f t="shared" si="1"/>
        <v>Friday</v>
      </c>
      <c r="H19" s="2" t="str">
        <f t="shared" si="2"/>
        <v>January</v>
      </c>
      <c r="I19" t="s">
        <v>35</v>
      </c>
      <c r="J19" t="s">
        <v>15</v>
      </c>
      <c r="K19" t="s">
        <v>22</v>
      </c>
      <c r="L19" t="s">
        <v>27</v>
      </c>
      <c r="M19">
        <v>1107.73</v>
      </c>
      <c r="N19">
        <f t="shared" si="3"/>
        <v>3</v>
      </c>
      <c r="O19">
        <v>5</v>
      </c>
      <c r="P19" t="str">
        <f t="shared" si="4"/>
        <v>Yes</v>
      </c>
      <c r="Q19">
        <f>IF(Booking_Data[[#This Row],[Discounted Booking]]="Yes",1,0)</f>
        <v>1</v>
      </c>
      <c r="R19" t="s">
        <v>24</v>
      </c>
      <c r="S19">
        <f>IF(Booking_Data[[#This Row],[Cancellation Status]]="yes",1,0)</f>
        <v>0</v>
      </c>
    </row>
    <row r="20" spans="1:19" x14ac:dyDescent="0.35">
      <c r="A20" t="s">
        <v>67</v>
      </c>
      <c r="B20" t="s">
        <v>68</v>
      </c>
      <c r="C20" s="1">
        <v>45296</v>
      </c>
      <c r="D20" s="1">
        <v>45304</v>
      </c>
      <c r="E20" s="1">
        <v>45309</v>
      </c>
      <c r="F20" s="2">
        <f t="shared" si="0"/>
        <v>1</v>
      </c>
      <c r="G20" s="2" t="str">
        <f t="shared" si="1"/>
        <v>Friday</v>
      </c>
      <c r="H20" s="2" t="str">
        <f t="shared" si="2"/>
        <v>January</v>
      </c>
      <c r="I20" t="s">
        <v>14</v>
      </c>
      <c r="J20" t="s">
        <v>15</v>
      </c>
      <c r="K20" t="s">
        <v>16</v>
      </c>
      <c r="L20" t="s">
        <v>37</v>
      </c>
      <c r="M20">
        <v>799.37</v>
      </c>
      <c r="N20">
        <f t="shared" si="3"/>
        <v>5</v>
      </c>
      <c r="O20">
        <v>20</v>
      </c>
      <c r="P20" t="str">
        <f t="shared" si="4"/>
        <v>Yes</v>
      </c>
      <c r="Q20">
        <f>IF(Booking_Data[[#This Row],[Discounted Booking]]="Yes",1,0)</f>
        <v>1</v>
      </c>
      <c r="R20" t="s">
        <v>18</v>
      </c>
      <c r="S20">
        <f>IF(Booking_Data[[#This Row],[Cancellation Status]]="yes",1,0)</f>
        <v>1</v>
      </c>
    </row>
    <row r="21" spans="1:19" x14ac:dyDescent="0.35">
      <c r="A21" t="s">
        <v>69</v>
      </c>
      <c r="B21" t="s">
        <v>70</v>
      </c>
      <c r="C21" s="1">
        <v>45296</v>
      </c>
      <c r="D21" s="1">
        <v>45319</v>
      </c>
      <c r="E21" s="1">
        <v>45329</v>
      </c>
      <c r="F21" s="2">
        <f t="shared" si="0"/>
        <v>1</v>
      </c>
      <c r="G21" s="2" t="str">
        <f t="shared" si="1"/>
        <v>Friday</v>
      </c>
      <c r="H21" s="2" t="str">
        <f t="shared" si="2"/>
        <v>January</v>
      </c>
      <c r="I21" t="s">
        <v>35</v>
      </c>
      <c r="J21" t="s">
        <v>15</v>
      </c>
      <c r="K21" t="s">
        <v>49</v>
      </c>
      <c r="L21" t="s">
        <v>23</v>
      </c>
      <c r="M21">
        <v>393.43</v>
      </c>
      <c r="N21">
        <f t="shared" si="3"/>
        <v>10</v>
      </c>
      <c r="O21">
        <v>5</v>
      </c>
      <c r="P21" t="str">
        <f t="shared" si="4"/>
        <v>Yes</v>
      </c>
      <c r="Q21">
        <f>IF(Booking_Data[[#This Row],[Discounted Booking]]="Yes",1,0)</f>
        <v>1</v>
      </c>
      <c r="R21" t="s">
        <v>24</v>
      </c>
      <c r="S21">
        <f>IF(Booking_Data[[#This Row],[Cancellation Status]]="yes",1,0)</f>
        <v>0</v>
      </c>
    </row>
    <row r="22" spans="1:19" x14ac:dyDescent="0.35">
      <c r="A22" t="s">
        <v>71</v>
      </c>
      <c r="B22" t="s">
        <v>72</v>
      </c>
      <c r="C22" s="1">
        <v>45296</v>
      </c>
      <c r="D22" s="1">
        <v>45306</v>
      </c>
      <c r="E22" s="1">
        <v>45314</v>
      </c>
      <c r="F22" s="2">
        <f t="shared" si="0"/>
        <v>1</v>
      </c>
      <c r="G22" s="2" t="str">
        <f t="shared" si="1"/>
        <v>Friday</v>
      </c>
      <c r="H22" s="2" t="str">
        <f t="shared" si="2"/>
        <v>January</v>
      </c>
      <c r="I22" t="s">
        <v>35</v>
      </c>
      <c r="J22" t="s">
        <v>36</v>
      </c>
      <c r="K22" t="s">
        <v>58</v>
      </c>
      <c r="L22" t="s">
        <v>27</v>
      </c>
      <c r="M22">
        <v>351.6</v>
      </c>
      <c r="N22">
        <f t="shared" si="3"/>
        <v>8</v>
      </c>
      <c r="O22">
        <v>20</v>
      </c>
      <c r="P22" t="str">
        <f t="shared" si="4"/>
        <v>Yes</v>
      </c>
      <c r="Q22">
        <f>IF(Booking_Data[[#This Row],[Discounted Booking]]="Yes",1,0)</f>
        <v>1</v>
      </c>
      <c r="R22" t="s">
        <v>24</v>
      </c>
      <c r="S22">
        <f>IF(Booking_Data[[#This Row],[Cancellation Status]]="yes",1,0)</f>
        <v>0</v>
      </c>
    </row>
    <row r="23" spans="1:19" x14ac:dyDescent="0.35">
      <c r="A23" t="s">
        <v>73</v>
      </c>
      <c r="B23" t="s">
        <v>74</v>
      </c>
      <c r="C23" s="1">
        <v>45296</v>
      </c>
      <c r="D23" s="1">
        <v>45305</v>
      </c>
      <c r="E23" s="1">
        <v>45311</v>
      </c>
      <c r="F23" s="2">
        <f t="shared" si="0"/>
        <v>1</v>
      </c>
      <c r="G23" s="2" t="str">
        <f t="shared" si="1"/>
        <v>Friday</v>
      </c>
      <c r="H23" s="2" t="str">
        <f t="shared" si="2"/>
        <v>January</v>
      </c>
      <c r="I23" t="s">
        <v>14</v>
      </c>
      <c r="J23" t="s">
        <v>15</v>
      </c>
      <c r="K23" t="s">
        <v>42</v>
      </c>
      <c r="L23" t="s">
        <v>17</v>
      </c>
      <c r="M23">
        <v>700.43</v>
      </c>
      <c r="N23">
        <f t="shared" si="3"/>
        <v>6</v>
      </c>
      <c r="O23">
        <v>10</v>
      </c>
      <c r="P23" t="str">
        <f t="shared" si="4"/>
        <v>Yes</v>
      </c>
      <c r="Q23">
        <f>IF(Booking_Data[[#This Row],[Discounted Booking]]="Yes",1,0)</f>
        <v>1</v>
      </c>
      <c r="R23" t="s">
        <v>24</v>
      </c>
      <c r="S23">
        <f>IF(Booking_Data[[#This Row],[Cancellation Status]]="yes",1,0)</f>
        <v>0</v>
      </c>
    </row>
    <row r="24" spans="1:19" x14ac:dyDescent="0.35">
      <c r="A24" t="s">
        <v>75</v>
      </c>
      <c r="B24" t="s">
        <v>76</v>
      </c>
      <c r="C24" s="1">
        <v>45296</v>
      </c>
      <c r="D24" s="1">
        <v>45301</v>
      </c>
      <c r="E24" s="1">
        <v>45307</v>
      </c>
      <c r="F24" s="2">
        <f t="shared" si="0"/>
        <v>1</v>
      </c>
      <c r="G24" s="2" t="str">
        <f t="shared" si="1"/>
        <v>Friday</v>
      </c>
      <c r="H24" s="2" t="str">
        <f t="shared" si="2"/>
        <v>January</v>
      </c>
      <c r="I24" t="s">
        <v>14</v>
      </c>
      <c r="J24" t="s">
        <v>21</v>
      </c>
      <c r="K24" t="s">
        <v>22</v>
      </c>
      <c r="L24" t="s">
        <v>37</v>
      </c>
      <c r="M24">
        <v>803.28</v>
      </c>
      <c r="N24">
        <f t="shared" si="3"/>
        <v>6</v>
      </c>
      <c r="O24">
        <v>10</v>
      </c>
      <c r="P24" t="str">
        <f t="shared" si="4"/>
        <v>Yes</v>
      </c>
      <c r="Q24">
        <f>IF(Booking_Data[[#This Row],[Discounted Booking]]="Yes",1,0)</f>
        <v>1</v>
      </c>
      <c r="R24" t="s">
        <v>24</v>
      </c>
      <c r="S24">
        <f>IF(Booking_Data[[#This Row],[Cancellation Status]]="yes",1,0)</f>
        <v>0</v>
      </c>
    </row>
    <row r="25" spans="1:19" x14ac:dyDescent="0.35">
      <c r="A25" t="s">
        <v>77</v>
      </c>
      <c r="B25" t="s">
        <v>78</v>
      </c>
      <c r="C25" s="1">
        <v>45297</v>
      </c>
      <c r="D25" s="1">
        <v>45298</v>
      </c>
      <c r="E25" s="1">
        <v>45307</v>
      </c>
      <c r="F25" s="2">
        <f t="shared" si="0"/>
        <v>1</v>
      </c>
      <c r="G25" s="2" t="str">
        <f t="shared" si="1"/>
        <v>Saturday</v>
      </c>
      <c r="H25" s="2" t="str">
        <f t="shared" si="2"/>
        <v>January</v>
      </c>
      <c r="I25" t="s">
        <v>35</v>
      </c>
      <c r="J25" t="s">
        <v>21</v>
      </c>
      <c r="K25" t="s">
        <v>49</v>
      </c>
      <c r="L25" t="s">
        <v>23</v>
      </c>
      <c r="M25">
        <v>657.19</v>
      </c>
      <c r="N25">
        <f t="shared" si="3"/>
        <v>9</v>
      </c>
      <c r="O25">
        <v>10</v>
      </c>
      <c r="P25" t="str">
        <f t="shared" si="4"/>
        <v>Yes</v>
      </c>
      <c r="Q25">
        <f>IF(Booking_Data[[#This Row],[Discounted Booking]]="Yes",1,0)</f>
        <v>1</v>
      </c>
      <c r="R25" t="s">
        <v>24</v>
      </c>
      <c r="S25">
        <f>IF(Booking_Data[[#This Row],[Cancellation Status]]="yes",1,0)</f>
        <v>0</v>
      </c>
    </row>
    <row r="26" spans="1:19" x14ac:dyDescent="0.35">
      <c r="A26" t="s">
        <v>79</v>
      </c>
      <c r="B26" t="s">
        <v>80</v>
      </c>
      <c r="C26" s="1">
        <v>45297</v>
      </c>
      <c r="D26" s="1">
        <v>45308</v>
      </c>
      <c r="E26" s="1">
        <v>45316</v>
      </c>
      <c r="F26" s="2">
        <f t="shared" si="0"/>
        <v>1</v>
      </c>
      <c r="G26" s="2" t="str">
        <f t="shared" si="1"/>
        <v>Saturday</v>
      </c>
      <c r="H26" s="2" t="str">
        <f t="shared" si="2"/>
        <v>January</v>
      </c>
      <c r="I26" t="s">
        <v>14</v>
      </c>
      <c r="J26" t="s">
        <v>31</v>
      </c>
      <c r="K26" t="s">
        <v>22</v>
      </c>
      <c r="L26" t="s">
        <v>37</v>
      </c>
      <c r="M26">
        <v>893.46</v>
      </c>
      <c r="N26">
        <f t="shared" si="3"/>
        <v>8</v>
      </c>
      <c r="O26">
        <v>0</v>
      </c>
      <c r="P26" t="str">
        <f t="shared" si="4"/>
        <v>No</v>
      </c>
      <c r="Q26">
        <f>IF(Booking_Data[[#This Row],[Discounted Booking]]="Yes",1,0)</f>
        <v>0</v>
      </c>
      <c r="R26" t="s">
        <v>24</v>
      </c>
      <c r="S26">
        <f>IF(Booking_Data[[#This Row],[Cancellation Status]]="yes",1,0)</f>
        <v>0</v>
      </c>
    </row>
    <row r="27" spans="1:19" x14ac:dyDescent="0.35">
      <c r="A27" t="s">
        <v>81</v>
      </c>
      <c r="B27" t="s">
        <v>82</v>
      </c>
      <c r="C27" s="1">
        <v>45297</v>
      </c>
      <c r="D27" s="1">
        <v>45327</v>
      </c>
      <c r="E27" s="1">
        <v>45330</v>
      </c>
      <c r="F27" s="2">
        <f t="shared" si="0"/>
        <v>1</v>
      </c>
      <c r="G27" s="2" t="str">
        <f t="shared" si="1"/>
        <v>Saturday</v>
      </c>
      <c r="H27" s="2" t="str">
        <f t="shared" si="2"/>
        <v>January</v>
      </c>
      <c r="I27" t="s">
        <v>30</v>
      </c>
      <c r="J27" t="s">
        <v>21</v>
      </c>
      <c r="K27" t="s">
        <v>32</v>
      </c>
      <c r="L27" t="s">
        <v>37</v>
      </c>
      <c r="M27">
        <v>1488.66</v>
      </c>
      <c r="N27">
        <f t="shared" si="3"/>
        <v>3</v>
      </c>
      <c r="O27">
        <v>10</v>
      </c>
      <c r="P27" t="str">
        <f t="shared" si="4"/>
        <v>Yes</v>
      </c>
      <c r="Q27">
        <f>IF(Booking_Data[[#This Row],[Discounted Booking]]="Yes",1,0)</f>
        <v>1</v>
      </c>
      <c r="R27" t="s">
        <v>18</v>
      </c>
      <c r="S27">
        <f>IF(Booking_Data[[#This Row],[Cancellation Status]]="yes",1,0)</f>
        <v>1</v>
      </c>
    </row>
    <row r="28" spans="1:19" x14ac:dyDescent="0.35">
      <c r="A28" t="s">
        <v>83</v>
      </c>
      <c r="B28" t="s">
        <v>84</v>
      </c>
      <c r="C28" s="1">
        <v>45297</v>
      </c>
      <c r="D28" s="1">
        <v>45309</v>
      </c>
      <c r="E28" s="1">
        <v>45318</v>
      </c>
      <c r="F28" s="2">
        <f t="shared" si="0"/>
        <v>1</v>
      </c>
      <c r="G28" s="2" t="str">
        <f t="shared" si="1"/>
        <v>Saturday</v>
      </c>
      <c r="H28" s="2" t="str">
        <f t="shared" si="2"/>
        <v>January</v>
      </c>
      <c r="I28" t="s">
        <v>14</v>
      </c>
      <c r="J28" t="s">
        <v>36</v>
      </c>
      <c r="K28" t="s">
        <v>49</v>
      </c>
      <c r="L28" t="s">
        <v>23</v>
      </c>
      <c r="M28">
        <v>898.28</v>
      </c>
      <c r="N28">
        <f t="shared" si="3"/>
        <v>9</v>
      </c>
      <c r="O28">
        <v>5</v>
      </c>
      <c r="P28" t="str">
        <f t="shared" si="4"/>
        <v>Yes</v>
      </c>
      <c r="Q28">
        <f>IF(Booking_Data[[#This Row],[Discounted Booking]]="Yes",1,0)</f>
        <v>1</v>
      </c>
      <c r="R28" t="s">
        <v>18</v>
      </c>
      <c r="S28">
        <f>IF(Booking_Data[[#This Row],[Cancellation Status]]="yes",1,0)</f>
        <v>1</v>
      </c>
    </row>
    <row r="29" spans="1:19" x14ac:dyDescent="0.35">
      <c r="A29" t="s">
        <v>85</v>
      </c>
      <c r="B29" t="s">
        <v>86</v>
      </c>
      <c r="C29" s="1">
        <v>45298</v>
      </c>
      <c r="D29" s="1">
        <v>45306</v>
      </c>
      <c r="E29" s="1">
        <v>45315</v>
      </c>
      <c r="F29" s="2">
        <f t="shared" si="0"/>
        <v>2</v>
      </c>
      <c r="G29" s="2" t="str">
        <f t="shared" si="1"/>
        <v>Sunday</v>
      </c>
      <c r="H29" s="2" t="str">
        <f t="shared" si="2"/>
        <v>January</v>
      </c>
      <c r="I29" t="s">
        <v>35</v>
      </c>
      <c r="J29" t="s">
        <v>21</v>
      </c>
      <c r="K29" t="s">
        <v>16</v>
      </c>
      <c r="L29" t="s">
        <v>37</v>
      </c>
      <c r="M29">
        <v>377.09</v>
      </c>
      <c r="N29">
        <f t="shared" si="3"/>
        <v>9</v>
      </c>
      <c r="O29">
        <v>25</v>
      </c>
      <c r="P29" t="str">
        <f t="shared" si="4"/>
        <v>Yes</v>
      </c>
      <c r="Q29">
        <f>IF(Booking_Data[[#This Row],[Discounted Booking]]="Yes",1,0)</f>
        <v>1</v>
      </c>
      <c r="R29" t="s">
        <v>18</v>
      </c>
      <c r="S29">
        <f>IF(Booking_Data[[#This Row],[Cancellation Status]]="yes",1,0)</f>
        <v>1</v>
      </c>
    </row>
    <row r="30" spans="1:19" x14ac:dyDescent="0.35">
      <c r="A30" t="s">
        <v>87</v>
      </c>
      <c r="B30" t="s">
        <v>88</v>
      </c>
      <c r="C30" s="1">
        <v>45298</v>
      </c>
      <c r="D30" s="1">
        <v>45301</v>
      </c>
      <c r="E30" s="1">
        <v>45310</v>
      </c>
      <c r="F30" s="2">
        <f t="shared" si="0"/>
        <v>2</v>
      </c>
      <c r="G30" s="2" t="str">
        <f t="shared" si="1"/>
        <v>Sunday</v>
      </c>
      <c r="H30" s="2" t="str">
        <f t="shared" si="2"/>
        <v>January</v>
      </c>
      <c r="I30" t="s">
        <v>35</v>
      </c>
      <c r="J30" t="s">
        <v>31</v>
      </c>
      <c r="K30" t="s">
        <v>16</v>
      </c>
      <c r="L30" t="s">
        <v>23</v>
      </c>
      <c r="M30">
        <v>1268.8499999999999</v>
      </c>
      <c r="N30">
        <f t="shared" si="3"/>
        <v>9</v>
      </c>
      <c r="O30">
        <v>20</v>
      </c>
      <c r="P30" t="str">
        <f t="shared" si="4"/>
        <v>Yes</v>
      </c>
      <c r="Q30">
        <f>IF(Booking_Data[[#This Row],[Discounted Booking]]="Yes",1,0)</f>
        <v>1</v>
      </c>
      <c r="R30" t="s">
        <v>18</v>
      </c>
      <c r="S30">
        <f>IF(Booking_Data[[#This Row],[Cancellation Status]]="yes",1,0)</f>
        <v>1</v>
      </c>
    </row>
    <row r="31" spans="1:19" x14ac:dyDescent="0.35">
      <c r="A31" t="s">
        <v>89</v>
      </c>
      <c r="B31" t="s">
        <v>90</v>
      </c>
      <c r="C31" s="1">
        <v>45298</v>
      </c>
      <c r="D31" s="1">
        <v>45328</v>
      </c>
      <c r="E31" s="1">
        <v>45332</v>
      </c>
      <c r="F31" s="2">
        <f t="shared" si="0"/>
        <v>2</v>
      </c>
      <c r="G31" s="2" t="str">
        <f t="shared" si="1"/>
        <v>Sunday</v>
      </c>
      <c r="H31" s="2" t="str">
        <f t="shared" si="2"/>
        <v>January</v>
      </c>
      <c r="I31" t="s">
        <v>30</v>
      </c>
      <c r="J31" t="s">
        <v>31</v>
      </c>
      <c r="K31" t="s">
        <v>49</v>
      </c>
      <c r="L31" t="s">
        <v>37</v>
      </c>
      <c r="M31">
        <v>1265.68</v>
      </c>
      <c r="N31">
        <f t="shared" si="3"/>
        <v>4</v>
      </c>
      <c r="O31">
        <v>10</v>
      </c>
      <c r="P31" t="str">
        <f t="shared" si="4"/>
        <v>Yes</v>
      </c>
      <c r="Q31">
        <f>IF(Booking_Data[[#This Row],[Discounted Booking]]="Yes",1,0)</f>
        <v>1</v>
      </c>
      <c r="R31" t="s">
        <v>18</v>
      </c>
      <c r="S31">
        <f>IF(Booking_Data[[#This Row],[Cancellation Status]]="yes",1,0)</f>
        <v>1</v>
      </c>
    </row>
    <row r="32" spans="1:19" x14ac:dyDescent="0.35">
      <c r="A32" t="s">
        <v>91</v>
      </c>
      <c r="B32" t="s">
        <v>92</v>
      </c>
      <c r="C32" s="1">
        <v>45298</v>
      </c>
      <c r="D32" s="1">
        <v>45323</v>
      </c>
      <c r="E32" s="1">
        <v>45331</v>
      </c>
      <c r="F32" s="2">
        <f t="shared" si="0"/>
        <v>2</v>
      </c>
      <c r="G32" s="2" t="str">
        <f t="shared" si="1"/>
        <v>Sunday</v>
      </c>
      <c r="H32" s="2" t="str">
        <f t="shared" si="2"/>
        <v>January</v>
      </c>
      <c r="I32" t="s">
        <v>30</v>
      </c>
      <c r="J32" t="s">
        <v>21</v>
      </c>
      <c r="K32" t="s">
        <v>16</v>
      </c>
      <c r="L32" t="s">
        <v>23</v>
      </c>
      <c r="M32">
        <v>1198.3</v>
      </c>
      <c r="N32">
        <f t="shared" si="3"/>
        <v>8</v>
      </c>
      <c r="O32">
        <v>20</v>
      </c>
      <c r="P32" t="str">
        <f t="shared" si="4"/>
        <v>Yes</v>
      </c>
      <c r="Q32">
        <f>IF(Booking_Data[[#This Row],[Discounted Booking]]="Yes",1,0)</f>
        <v>1</v>
      </c>
      <c r="R32" t="s">
        <v>24</v>
      </c>
      <c r="S32">
        <f>IF(Booking_Data[[#This Row],[Cancellation Status]]="yes",1,0)</f>
        <v>0</v>
      </c>
    </row>
    <row r="33" spans="1:19" x14ac:dyDescent="0.35">
      <c r="A33" t="s">
        <v>93</v>
      </c>
      <c r="B33" t="s">
        <v>94</v>
      </c>
      <c r="C33" s="1">
        <v>45299</v>
      </c>
      <c r="D33" s="1">
        <v>45308</v>
      </c>
      <c r="E33" s="1">
        <v>45310</v>
      </c>
      <c r="F33" s="2">
        <f t="shared" si="0"/>
        <v>2</v>
      </c>
      <c r="G33" s="2" t="str">
        <f t="shared" si="1"/>
        <v>Monday</v>
      </c>
      <c r="H33" s="2" t="str">
        <f t="shared" si="2"/>
        <v>January</v>
      </c>
      <c r="I33" t="s">
        <v>35</v>
      </c>
      <c r="J33" t="s">
        <v>21</v>
      </c>
      <c r="K33" t="s">
        <v>32</v>
      </c>
      <c r="L33" t="s">
        <v>27</v>
      </c>
      <c r="M33">
        <v>581.25</v>
      </c>
      <c r="N33">
        <f t="shared" si="3"/>
        <v>2</v>
      </c>
      <c r="O33">
        <v>0</v>
      </c>
      <c r="P33" t="str">
        <f t="shared" si="4"/>
        <v>No</v>
      </c>
      <c r="Q33">
        <f>IF(Booking_Data[[#This Row],[Discounted Booking]]="Yes",1,0)</f>
        <v>0</v>
      </c>
      <c r="R33" t="s">
        <v>18</v>
      </c>
      <c r="S33">
        <f>IF(Booking_Data[[#This Row],[Cancellation Status]]="yes",1,0)</f>
        <v>1</v>
      </c>
    </row>
    <row r="34" spans="1:19" x14ac:dyDescent="0.35">
      <c r="A34" t="s">
        <v>95</v>
      </c>
      <c r="B34" t="s">
        <v>96</v>
      </c>
      <c r="C34" s="1">
        <v>45299</v>
      </c>
      <c r="D34" s="1">
        <v>45313</v>
      </c>
      <c r="E34" s="1">
        <v>45319</v>
      </c>
      <c r="F34" s="2">
        <f t="shared" si="0"/>
        <v>2</v>
      </c>
      <c r="G34" s="2" t="str">
        <f t="shared" si="1"/>
        <v>Monday</v>
      </c>
      <c r="H34" s="2" t="str">
        <f t="shared" si="2"/>
        <v>January</v>
      </c>
      <c r="I34" t="s">
        <v>30</v>
      </c>
      <c r="J34" t="s">
        <v>21</v>
      </c>
      <c r="K34" t="s">
        <v>49</v>
      </c>
      <c r="L34" t="s">
        <v>37</v>
      </c>
      <c r="M34">
        <v>764.08</v>
      </c>
      <c r="N34">
        <f t="shared" si="3"/>
        <v>6</v>
      </c>
      <c r="O34">
        <v>15</v>
      </c>
      <c r="P34" t="str">
        <f t="shared" si="4"/>
        <v>Yes</v>
      </c>
      <c r="Q34">
        <f>IF(Booking_Data[[#This Row],[Discounted Booking]]="Yes",1,0)</f>
        <v>1</v>
      </c>
      <c r="R34" t="s">
        <v>24</v>
      </c>
      <c r="S34">
        <f>IF(Booking_Data[[#This Row],[Cancellation Status]]="yes",1,0)</f>
        <v>0</v>
      </c>
    </row>
    <row r="35" spans="1:19" x14ac:dyDescent="0.35">
      <c r="A35" t="s">
        <v>97</v>
      </c>
      <c r="B35" t="s">
        <v>98</v>
      </c>
      <c r="C35" s="1">
        <v>45299</v>
      </c>
      <c r="D35" s="1">
        <v>45328</v>
      </c>
      <c r="E35" s="1">
        <v>45335</v>
      </c>
      <c r="F35" s="2">
        <f t="shared" si="0"/>
        <v>2</v>
      </c>
      <c r="G35" s="2" t="str">
        <f t="shared" si="1"/>
        <v>Monday</v>
      </c>
      <c r="H35" s="2" t="str">
        <f t="shared" si="2"/>
        <v>January</v>
      </c>
      <c r="I35" t="s">
        <v>35</v>
      </c>
      <c r="J35" t="s">
        <v>15</v>
      </c>
      <c r="K35" t="s">
        <v>32</v>
      </c>
      <c r="L35" t="s">
        <v>23</v>
      </c>
      <c r="M35">
        <v>299.29000000000002</v>
      </c>
      <c r="N35">
        <f t="shared" si="3"/>
        <v>7</v>
      </c>
      <c r="O35">
        <v>20</v>
      </c>
      <c r="P35" t="str">
        <f t="shared" si="4"/>
        <v>Yes</v>
      </c>
      <c r="Q35">
        <f>IF(Booking_Data[[#This Row],[Discounted Booking]]="Yes",1,0)</f>
        <v>1</v>
      </c>
      <c r="R35" t="s">
        <v>18</v>
      </c>
      <c r="S35">
        <f>IF(Booking_Data[[#This Row],[Cancellation Status]]="yes",1,0)</f>
        <v>1</v>
      </c>
    </row>
    <row r="36" spans="1:19" x14ac:dyDescent="0.35">
      <c r="A36" t="s">
        <v>99</v>
      </c>
      <c r="B36" t="s">
        <v>100</v>
      </c>
      <c r="C36" s="1">
        <v>45300</v>
      </c>
      <c r="D36" s="1">
        <v>45319</v>
      </c>
      <c r="E36" s="1">
        <v>45324</v>
      </c>
      <c r="F36" s="2">
        <f t="shared" si="0"/>
        <v>2</v>
      </c>
      <c r="G36" s="2" t="str">
        <f t="shared" si="1"/>
        <v>Tuesday</v>
      </c>
      <c r="H36" s="2" t="str">
        <f t="shared" si="2"/>
        <v>January</v>
      </c>
      <c r="I36" t="s">
        <v>30</v>
      </c>
      <c r="J36" t="s">
        <v>15</v>
      </c>
      <c r="K36" t="s">
        <v>22</v>
      </c>
      <c r="L36" t="s">
        <v>17</v>
      </c>
      <c r="M36">
        <v>1135.6199999999999</v>
      </c>
      <c r="N36">
        <f t="shared" si="3"/>
        <v>5</v>
      </c>
      <c r="O36">
        <v>10</v>
      </c>
      <c r="P36" t="str">
        <f t="shared" si="4"/>
        <v>Yes</v>
      </c>
      <c r="Q36">
        <f>IF(Booking_Data[[#This Row],[Discounted Booking]]="Yes",1,0)</f>
        <v>1</v>
      </c>
      <c r="R36" t="s">
        <v>24</v>
      </c>
      <c r="S36">
        <f>IF(Booking_Data[[#This Row],[Cancellation Status]]="yes",1,0)</f>
        <v>0</v>
      </c>
    </row>
    <row r="37" spans="1:19" x14ac:dyDescent="0.35">
      <c r="A37" t="s">
        <v>101</v>
      </c>
      <c r="B37" t="s">
        <v>102</v>
      </c>
      <c r="C37" s="1">
        <v>45300</v>
      </c>
      <c r="D37" s="1">
        <v>45325</v>
      </c>
      <c r="E37" s="1">
        <v>45328</v>
      </c>
      <c r="F37" s="2">
        <f t="shared" si="0"/>
        <v>2</v>
      </c>
      <c r="G37" s="2" t="str">
        <f t="shared" si="1"/>
        <v>Tuesday</v>
      </c>
      <c r="H37" s="2" t="str">
        <f t="shared" si="2"/>
        <v>January</v>
      </c>
      <c r="I37" t="s">
        <v>35</v>
      </c>
      <c r="J37" t="s">
        <v>36</v>
      </c>
      <c r="K37" t="s">
        <v>42</v>
      </c>
      <c r="L37" t="s">
        <v>27</v>
      </c>
      <c r="M37">
        <v>807.27</v>
      </c>
      <c r="N37">
        <f t="shared" si="3"/>
        <v>3</v>
      </c>
      <c r="O37">
        <v>20</v>
      </c>
      <c r="P37" t="str">
        <f t="shared" si="4"/>
        <v>Yes</v>
      </c>
      <c r="Q37">
        <f>IF(Booking_Data[[#This Row],[Discounted Booking]]="Yes",1,0)</f>
        <v>1</v>
      </c>
      <c r="R37" t="s">
        <v>18</v>
      </c>
      <c r="S37">
        <f>IF(Booking_Data[[#This Row],[Cancellation Status]]="yes",1,0)</f>
        <v>1</v>
      </c>
    </row>
    <row r="38" spans="1:19" x14ac:dyDescent="0.35">
      <c r="A38" t="s">
        <v>103</v>
      </c>
      <c r="B38" t="s">
        <v>104</v>
      </c>
      <c r="C38" s="1">
        <v>45300</v>
      </c>
      <c r="D38" s="1">
        <v>45309</v>
      </c>
      <c r="E38" s="1">
        <v>45313</v>
      </c>
      <c r="F38" s="2">
        <f t="shared" si="0"/>
        <v>2</v>
      </c>
      <c r="G38" s="2" t="str">
        <f t="shared" si="1"/>
        <v>Tuesday</v>
      </c>
      <c r="H38" s="2" t="str">
        <f t="shared" si="2"/>
        <v>January</v>
      </c>
      <c r="I38" t="s">
        <v>14</v>
      </c>
      <c r="J38" t="s">
        <v>36</v>
      </c>
      <c r="K38" t="s">
        <v>42</v>
      </c>
      <c r="L38" t="s">
        <v>17</v>
      </c>
      <c r="M38">
        <v>215.35</v>
      </c>
      <c r="N38">
        <f t="shared" si="3"/>
        <v>4</v>
      </c>
      <c r="O38">
        <v>0</v>
      </c>
      <c r="P38" t="str">
        <f t="shared" si="4"/>
        <v>No</v>
      </c>
      <c r="Q38">
        <f>IF(Booking_Data[[#This Row],[Discounted Booking]]="Yes",1,0)</f>
        <v>0</v>
      </c>
      <c r="R38" t="s">
        <v>24</v>
      </c>
      <c r="S38">
        <f>IF(Booking_Data[[#This Row],[Cancellation Status]]="yes",1,0)</f>
        <v>0</v>
      </c>
    </row>
    <row r="39" spans="1:19" x14ac:dyDescent="0.35">
      <c r="A39" t="s">
        <v>105</v>
      </c>
      <c r="B39" t="s">
        <v>106</v>
      </c>
      <c r="C39" s="1">
        <v>45300</v>
      </c>
      <c r="D39" s="1">
        <v>45306</v>
      </c>
      <c r="E39" s="1">
        <v>45310</v>
      </c>
      <c r="F39" s="2">
        <f t="shared" si="0"/>
        <v>2</v>
      </c>
      <c r="G39" s="2" t="str">
        <f t="shared" si="1"/>
        <v>Tuesday</v>
      </c>
      <c r="H39" s="2" t="str">
        <f t="shared" si="2"/>
        <v>January</v>
      </c>
      <c r="I39" t="s">
        <v>30</v>
      </c>
      <c r="J39" t="s">
        <v>15</v>
      </c>
      <c r="K39" t="s">
        <v>32</v>
      </c>
      <c r="L39" t="s">
        <v>27</v>
      </c>
      <c r="M39">
        <v>252.56</v>
      </c>
      <c r="N39">
        <f t="shared" si="3"/>
        <v>4</v>
      </c>
      <c r="O39">
        <v>10</v>
      </c>
      <c r="P39" t="str">
        <f t="shared" si="4"/>
        <v>Yes</v>
      </c>
      <c r="Q39">
        <f>IF(Booking_Data[[#This Row],[Discounted Booking]]="Yes",1,0)</f>
        <v>1</v>
      </c>
      <c r="R39" t="s">
        <v>24</v>
      </c>
      <c r="S39">
        <f>IF(Booking_Data[[#This Row],[Cancellation Status]]="yes",1,0)</f>
        <v>0</v>
      </c>
    </row>
    <row r="40" spans="1:19" x14ac:dyDescent="0.35">
      <c r="A40" t="s">
        <v>107</v>
      </c>
      <c r="B40" t="s">
        <v>108</v>
      </c>
      <c r="C40" s="1">
        <v>45300</v>
      </c>
      <c r="D40" s="1">
        <v>45308</v>
      </c>
      <c r="E40" s="1">
        <v>45310</v>
      </c>
      <c r="F40" s="2">
        <f t="shared" si="0"/>
        <v>2</v>
      </c>
      <c r="G40" s="2" t="str">
        <f t="shared" si="1"/>
        <v>Tuesday</v>
      </c>
      <c r="H40" s="2" t="str">
        <f t="shared" si="2"/>
        <v>January</v>
      </c>
      <c r="I40" t="s">
        <v>14</v>
      </c>
      <c r="J40" t="s">
        <v>21</v>
      </c>
      <c r="K40" t="s">
        <v>49</v>
      </c>
      <c r="L40" t="s">
        <v>23</v>
      </c>
      <c r="M40">
        <v>560.82000000000005</v>
      </c>
      <c r="N40">
        <f t="shared" si="3"/>
        <v>2</v>
      </c>
      <c r="O40">
        <v>20</v>
      </c>
      <c r="P40" t="str">
        <f t="shared" si="4"/>
        <v>Yes</v>
      </c>
      <c r="Q40">
        <f>IF(Booking_Data[[#This Row],[Discounted Booking]]="Yes",1,0)</f>
        <v>1</v>
      </c>
      <c r="R40" t="s">
        <v>24</v>
      </c>
      <c r="S40">
        <f>IF(Booking_Data[[#This Row],[Cancellation Status]]="yes",1,0)</f>
        <v>0</v>
      </c>
    </row>
    <row r="41" spans="1:19" x14ac:dyDescent="0.35">
      <c r="A41" t="s">
        <v>109</v>
      </c>
      <c r="B41" t="s">
        <v>110</v>
      </c>
      <c r="C41" s="1">
        <v>45300</v>
      </c>
      <c r="D41" s="1">
        <v>45303</v>
      </c>
      <c r="E41" s="1">
        <v>45308</v>
      </c>
      <c r="F41" s="2">
        <f t="shared" si="0"/>
        <v>2</v>
      </c>
      <c r="G41" s="2" t="str">
        <f t="shared" si="1"/>
        <v>Tuesday</v>
      </c>
      <c r="H41" s="2" t="str">
        <f t="shared" si="2"/>
        <v>January</v>
      </c>
      <c r="I41" t="s">
        <v>14</v>
      </c>
      <c r="J41" t="s">
        <v>36</v>
      </c>
      <c r="K41" t="s">
        <v>32</v>
      </c>
      <c r="L41" t="s">
        <v>27</v>
      </c>
      <c r="M41">
        <v>259.23</v>
      </c>
      <c r="N41">
        <f t="shared" si="3"/>
        <v>5</v>
      </c>
      <c r="O41">
        <v>15</v>
      </c>
      <c r="P41" t="str">
        <f t="shared" si="4"/>
        <v>Yes</v>
      </c>
      <c r="Q41">
        <f>IF(Booking_Data[[#This Row],[Discounted Booking]]="Yes",1,0)</f>
        <v>1</v>
      </c>
      <c r="R41" t="s">
        <v>24</v>
      </c>
      <c r="S41">
        <f>IF(Booking_Data[[#This Row],[Cancellation Status]]="yes",1,0)</f>
        <v>0</v>
      </c>
    </row>
    <row r="42" spans="1:19" x14ac:dyDescent="0.35">
      <c r="A42" t="s">
        <v>111</v>
      </c>
      <c r="B42" t="s">
        <v>112</v>
      </c>
      <c r="C42" s="1">
        <v>45301</v>
      </c>
      <c r="D42" s="1">
        <v>45329</v>
      </c>
      <c r="E42" s="1">
        <v>45334</v>
      </c>
      <c r="F42" s="2">
        <f t="shared" si="0"/>
        <v>2</v>
      </c>
      <c r="G42" s="2" t="str">
        <f t="shared" si="1"/>
        <v>Wednesday</v>
      </c>
      <c r="H42" s="2" t="str">
        <f t="shared" si="2"/>
        <v>January</v>
      </c>
      <c r="I42" t="s">
        <v>30</v>
      </c>
      <c r="J42" t="s">
        <v>31</v>
      </c>
      <c r="K42" t="s">
        <v>42</v>
      </c>
      <c r="L42" t="s">
        <v>37</v>
      </c>
      <c r="M42">
        <v>573.98</v>
      </c>
      <c r="N42">
        <f t="shared" si="3"/>
        <v>5</v>
      </c>
      <c r="O42">
        <v>0</v>
      </c>
      <c r="P42" t="str">
        <f t="shared" si="4"/>
        <v>No</v>
      </c>
      <c r="Q42">
        <f>IF(Booking_Data[[#This Row],[Discounted Booking]]="Yes",1,0)</f>
        <v>0</v>
      </c>
      <c r="R42" t="s">
        <v>18</v>
      </c>
      <c r="S42">
        <f>IF(Booking_Data[[#This Row],[Cancellation Status]]="yes",1,0)</f>
        <v>1</v>
      </c>
    </row>
    <row r="43" spans="1:19" x14ac:dyDescent="0.35">
      <c r="A43" t="s">
        <v>113</v>
      </c>
      <c r="B43" t="s">
        <v>114</v>
      </c>
      <c r="C43" s="1">
        <v>45301</v>
      </c>
      <c r="D43" s="1">
        <v>45312</v>
      </c>
      <c r="E43" s="1">
        <v>45315</v>
      </c>
      <c r="F43" s="2">
        <f t="shared" si="0"/>
        <v>2</v>
      </c>
      <c r="G43" s="2" t="str">
        <f t="shared" si="1"/>
        <v>Wednesday</v>
      </c>
      <c r="H43" s="2" t="str">
        <f t="shared" si="2"/>
        <v>January</v>
      </c>
      <c r="I43" t="s">
        <v>30</v>
      </c>
      <c r="J43" t="s">
        <v>21</v>
      </c>
      <c r="K43" t="s">
        <v>22</v>
      </c>
      <c r="L43" t="s">
        <v>27</v>
      </c>
      <c r="M43">
        <v>1183.1400000000001</v>
      </c>
      <c r="N43">
        <f t="shared" si="3"/>
        <v>3</v>
      </c>
      <c r="O43">
        <v>10</v>
      </c>
      <c r="P43" t="str">
        <f t="shared" si="4"/>
        <v>Yes</v>
      </c>
      <c r="Q43">
        <f>IF(Booking_Data[[#This Row],[Discounted Booking]]="Yes",1,0)</f>
        <v>1</v>
      </c>
      <c r="R43" t="s">
        <v>24</v>
      </c>
      <c r="S43">
        <f>IF(Booking_Data[[#This Row],[Cancellation Status]]="yes",1,0)</f>
        <v>0</v>
      </c>
    </row>
    <row r="44" spans="1:19" x14ac:dyDescent="0.35">
      <c r="A44" t="s">
        <v>115</v>
      </c>
      <c r="B44" t="s">
        <v>116</v>
      </c>
      <c r="C44" s="1">
        <v>45301</v>
      </c>
      <c r="D44" s="1">
        <v>45319</v>
      </c>
      <c r="E44" s="1">
        <v>45320</v>
      </c>
      <c r="F44" s="2">
        <f t="shared" si="0"/>
        <v>2</v>
      </c>
      <c r="G44" s="2" t="str">
        <f t="shared" si="1"/>
        <v>Wednesday</v>
      </c>
      <c r="H44" s="2" t="str">
        <f t="shared" si="2"/>
        <v>January</v>
      </c>
      <c r="I44" t="s">
        <v>14</v>
      </c>
      <c r="J44" t="s">
        <v>15</v>
      </c>
      <c r="K44" t="s">
        <v>32</v>
      </c>
      <c r="L44" t="s">
        <v>37</v>
      </c>
      <c r="M44">
        <v>453.76</v>
      </c>
      <c r="N44">
        <f t="shared" si="3"/>
        <v>1</v>
      </c>
      <c r="O44">
        <v>0</v>
      </c>
      <c r="P44" t="str">
        <f t="shared" si="4"/>
        <v>No</v>
      </c>
      <c r="Q44">
        <f>IF(Booking_Data[[#This Row],[Discounted Booking]]="Yes",1,0)</f>
        <v>0</v>
      </c>
      <c r="R44" t="s">
        <v>24</v>
      </c>
      <c r="S44">
        <f>IF(Booking_Data[[#This Row],[Cancellation Status]]="yes",1,0)</f>
        <v>0</v>
      </c>
    </row>
    <row r="45" spans="1:19" x14ac:dyDescent="0.35">
      <c r="A45" t="s">
        <v>117</v>
      </c>
      <c r="B45" t="s">
        <v>118</v>
      </c>
      <c r="C45" s="1">
        <v>45301</v>
      </c>
      <c r="D45" s="1">
        <v>45318</v>
      </c>
      <c r="E45" s="1">
        <v>45320</v>
      </c>
      <c r="F45" s="2">
        <f t="shared" si="0"/>
        <v>2</v>
      </c>
      <c r="G45" s="2" t="str">
        <f t="shared" si="1"/>
        <v>Wednesday</v>
      </c>
      <c r="H45" s="2" t="str">
        <f t="shared" si="2"/>
        <v>January</v>
      </c>
      <c r="I45" t="s">
        <v>14</v>
      </c>
      <c r="J45" t="s">
        <v>15</v>
      </c>
      <c r="K45" t="s">
        <v>22</v>
      </c>
      <c r="L45" t="s">
        <v>37</v>
      </c>
      <c r="M45">
        <v>1488.79</v>
      </c>
      <c r="N45">
        <f t="shared" si="3"/>
        <v>2</v>
      </c>
      <c r="O45">
        <v>20</v>
      </c>
      <c r="P45" t="str">
        <f t="shared" si="4"/>
        <v>Yes</v>
      </c>
      <c r="Q45">
        <f>IF(Booking_Data[[#This Row],[Discounted Booking]]="Yes",1,0)</f>
        <v>1</v>
      </c>
      <c r="R45" t="s">
        <v>18</v>
      </c>
      <c r="S45">
        <f>IF(Booking_Data[[#This Row],[Cancellation Status]]="yes",1,0)</f>
        <v>1</v>
      </c>
    </row>
    <row r="46" spans="1:19" x14ac:dyDescent="0.35">
      <c r="A46" t="s">
        <v>119</v>
      </c>
      <c r="B46" t="s">
        <v>120</v>
      </c>
      <c r="C46" s="1">
        <v>45302</v>
      </c>
      <c r="D46" s="1">
        <v>45314</v>
      </c>
      <c r="E46" s="1">
        <v>45319</v>
      </c>
      <c r="F46" s="2">
        <f t="shared" si="0"/>
        <v>2</v>
      </c>
      <c r="G46" s="2" t="str">
        <f t="shared" si="1"/>
        <v>Thursday</v>
      </c>
      <c r="H46" s="2" t="str">
        <f t="shared" si="2"/>
        <v>January</v>
      </c>
      <c r="I46" t="s">
        <v>35</v>
      </c>
      <c r="J46" t="s">
        <v>36</v>
      </c>
      <c r="K46" t="s">
        <v>49</v>
      </c>
      <c r="L46" t="s">
        <v>23</v>
      </c>
      <c r="M46">
        <v>1071.67</v>
      </c>
      <c r="N46">
        <f t="shared" si="3"/>
        <v>5</v>
      </c>
      <c r="O46">
        <v>25</v>
      </c>
      <c r="P46" t="str">
        <f t="shared" si="4"/>
        <v>Yes</v>
      </c>
      <c r="Q46">
        <f>IF(Booking_Data[[#This Row],[Discounted Booking]]="Yes",1,0)</f>
        <v>1</v>
      </c>
      <c r="R46" t="s">
        <v>18</v>
      </c>
      <c r="S46">
        <f>IF(Booking_Data[[#This Row],[Cancellation Status]]="yes",1,0)</f>
        <v>1</v>
      </c>
    </row>
    <row r="47" spans="1:19" x14ac:dyDescent="0.35">
      <c r="A47" t="s">
        <v>121</v>
      </c>
      <c r="B47" t="s">
        <v>122</v>
      </c>
      <c r="C47" s="1">
        <v>45302</v>
      </c>
      <c r="D47" s="1">
        <v>45307</v>
      </c>
      <c r="E47" s="1">
        <v>45317</v>
      </c>
      <c r="F47" s="2">
        <f t="shared" si="0"/>
        <v>2</v>
      </c>
      <c r="G47" s="2" t="str">
        <f t="shared" si="1"/>
        <v>Thursday</v>
      </c>
      <c r="H47" s="2" t="str">
        <f t="shared" si="2"/>
        <v>January</v>
      </c>
      <c r="I47" t="s">
        <v>14</v>
      </c>
      <c r="J47" t="s">
        <v>31</v>
      </c>
      <c r="K47" t="s">
        <v>42</v>
      </c>
      <c r="L47" t="s">
        <v>23</v>
      </c>
      <c r="M47">
        <v>574.16999999999996</v>
      </c>
      <c r="N47">
        <f t="shared" si="3"/>
        <v>10</v>
      </c>
      <c r="O47">
        <v>15</v>
      </c>
      <c r="P47" t="str">
        <f t="shared" si="4"/>
        <v>Yes</v>
      </c>
      <c r="Q47">
        <f>IF(Booking_Data[[#This Row],[Discounted Booking]]="Yes",1,0)</f>
        <v>1</v>
      </c>
      <c r="R47" t="s">
        <v>24</v>
      </c>
      <c r="S47">
        <f>IF(Booking_Data[[#This Row],[Cancellation Status]]="yes",1,0)</f>
        <v>0</v>
      </c>
    </row>
    <row r="48" spans="1:19" x14ac:dyDescent="0.35">
      <c r="A48" t="s">
        <v>123</v>
      </c>
      <c r="B48" t="s">
        <v>124</v>
      </c>
      <c r="C48" s="1">
        <v>45302</v>
      </c>
      <c r="D48" s="1">
        <v>45316</v>
      </c>
      <c r="E48" s="1">
        <v>45318</v>
      </c>
      <c r="F48" s="2">
        <f t="shared" si="0"/>
        <v>2</v>
      </c>
      <c r="G48" s="2" t="str">
        <f t="shared" si="1"/>
        <v>Thursday</v>
      </c>
      <c r="H48" s="2" t="str">
        <f t="shared" si="2"/>
        <v>January</v>
      </c>
      <c r="I48" t="s">
        <v>30</v>
      </c>
      <c r="J48" t="s">
        <v>15</v>
      </c>
      <c r="K48" t="s">
        <v>42</v>
      </c>
      <c r="L48" t="s">
        <v>17</v>
      </c>
      <c r="M48">
        <v>452.46</v>
      </c>
      <c r="N48">
        <f t="shared" si="3"/>
        <v>2</v>
      </c>
      <c r="O48">
        <v>0</v>
      </c>
      <c r="P48" t="str">
        <f t="shared" si="4"/>
        <v>No</v>
      </c>
      <c r="Q48">
        <f>IF(Booking_Data[[#This Row],[Discounted Booking]]="Yes",1,0)</f>
        <v>0</v>
      </c>
      <c r="R48" t="s">
        <v>24</v>
      </c>
      <c r="S48">
        <f>IF(Booking_Data[[#This Row],[Cancellation Status]]="yes",1,0)</f>
        <v>0</v>
      </c>
    </row>
    <row r="49" spans="1:19" x14ac:dyDescent="0.35">
      <c r="A49" t="s">
        <v>125</v>
      </c>
      <c r="B49" t="s">
        <v>126</v>
      </c>
      <c r="C49" s="1">
        <v>45303</v>
      </c>
      <c r="D49" s="1">
        <v>45309</v>
      </c>
      <c r="E49" s="1">
        <v>45315</v>
      </c>
      <c r="F49" s="2">
        <f t="shared" si="0"/>
        <v>2</v>
      </c>
      <c r="G49" s="2" t="str">
        <f t="shared" si="1"/>
        <v>Friday</v>
      </c>
      <c r="H49" s="2" t="str">
        <f t="shared" si="2"/>
        <v>January</v>
      </c>
      <c r="I49" t="s">
        <v>30</v>
      </c>
      <c r="J49" t="s">
        <v>31</v>
      </c>
      <c r="K49" t="s">
        <v>22</v>
      </c>
      <c r="L49" t="s">
        <v>37</v>
      </c>
      <c r="M49">
        <v>842.59</v>
      </c>
      <c r="N49">
        <f t="shared" si="3"/>
        <v>6</v>
      </c>
      <c r="O49">
        <v>5</v>
      </c>
      <c r="P49" t="str">
        <f t="shared" si="4"/>
        <v>Yes</v>
      </c>
      <c r="Q49">
        <f>IF(Booking_Data[[#This Row],[Discounted Booking]]="Yes",1,0)</f>
        <v>1</v>
      </c>
      <c r="R49" t="s">
        <v>24</v>
      </c>
      <c r="S49">
        <f>IF(Booking_Data[[#This Row],[Cancellation Status]]="yes",1,0)</f>
        <v>0</v>
      </c>
    </row>
    <row r="50" spans="1:19" x14ac:dyDescent="0.35">
      <c r="A50" t="s">
        <v>127</v>
      </c>
      <c r="B50" t="s">
        <v>128</v>
      </c>
      <c r="C50" s="1">
        <v>45303</v>
      </c>
      <c r="D50" s="1">
        <v>45326</v>
      </c>
      <c r="E50" s="1">
        <v>45332</v>
      </c>
      <c r="F50" s="2">
        <f t="shared" si="0"/>
        <v>2</v>
      </c>
      <c r="G50" s="2" t="str">
        <f t="shared" si="1"/>
        <v>Friday</v>
      </c>
      <c r="H50" s="2" t="str">
        <f t="shared" si="2"/>
        <v>January</v>
      </c>
      <c r="I50" t="s">
        <v>35</v>
      </c>
      <c r="J50" t="s">
        <v>31</v>
      </c>
      <c r="K50" t="s">
        <v>22</v>
      </c>
      <c r="L50" t="s">
        <v>27</v>
      </c>
      <c r="M50">
        <v>1152.4100000000001</v>
      </c>
      <c r="N50">
        <f t="shared" si="3"/>
        <v>6</v>
      </c>
      <c r="O50">
        <v>20</v>
      </c>
      <c r="P50" t="str">
        <f t="shared" si="4"/>
        <v>Yes</v>
      </c>
      <c r="Q50">
        <f>IF(Booking_Data[[#This Row],[Discounted Booking]]="Yes",1,0)</f>
        <v>1</v>
      </c>
      <c r="R50" t="s">
        <v>24</v>
      </c>
      <c r="S50">
        <f>IF(Booking_Data[[#This Row],[Cancellation Status]]="yes",1,0)</f>
        <v>0</v>
      </c>
    </row>
    <row r="51" spans="1:19" x14ac:dyDescent="0.35">
      <c r="A51" t="s">
        <v>129</v>
      </c>
      <c r="B51" t="s">
        <v>130</v>
      </c>
      <c r="C51" s="1">
        <v>45303</v>
      </c>
      <c r="D51" s="1">
        <v>45333</v>
      </c>
      <c r="E51" s="1">
        <v>45339</v>
      </c>
      <c r="F51" s="2">
        <f t="shared" si="0"/>
        <v>2</v>
      </c>
      <c r="G51" s="2" t="str">
        <f t="shared" si="1"/>
        <v>Friday</v>
      </c>
      <c r="H51" s="2" t="str">
        <f t="shared" si="2"/>
        <v>January</v>
      </c>
      <c r="I51" t="s">
        <v>35</v>
      </c>
      <c r="J51" t="s">
        <v>15</v>
      </c>
      <c r="K51" t="s">
        <v>22</v>
      </c>
      <c r="L51" t="s">
        <v>37</v>
      </c>
      <c r="M51">
        <v>650.17999999999995</v>
      </c>
      <c r="N51">
        <f t="shared" si="3"/>
        <v>6</v>
      </c>
      <c r="O51">
        <v>10</v>
      </c>
      <c r="P51" t="str">
        <f t="shared" si="4"/>
        <v>Yes</v>
      </c>
      <c r="Q51">
        <f>IF(Booking_Data[[#This Row],[Discounted Booking]]="Yes",1,0)</f>
        <v>1</v>
      </c>
      <c r="R51" t="s">
        <v>24</v>
      </c>
      <c r="S51">
        <f>IF(Booking_Data[[#This Row],[Cancellation Status]]="yes",1,0)</f>
        <v>0</v>
      </c>
    </row>
    <row r="52" spans="1:19" x14ac:dyDescent="0.35">
      <c r="A52" t="s">
        <v>131</v>
      </c>
      <c r="B52" t="s">
        <v>132</v>
      </c>
      <c r="C52" s="1">
        <v>45303</v>
      </c>
      <c r="D52" s="1">
        <v>45330</v>
      </c>
      <c r="E52" s="1">
        <v>45333</v>
      </c>
      <c r="F52" s="2">
        <f t="shared" si="0"/>
        <v>2</v>
      </c>
      <c r="G52" s="2" t="str">
        <f t="shared" si="1"/>
        <v>Friday</v>
      </c>
      <c r="H52" s="2" t="str">
        <f t="shared" si="2"/>
        <v>January</v>
      </c>
      <c r="I52" t="s">
        <v>14</v>
      </c>
      <c r="J52" t="s">
        <v>21</v>
      </c>
      <c r="K52" t="s">
        <v>58</v>
      </c>
      <c r="L52" t="s">
        <v>23</v>
      </c>
      <c r="M52">
        <v>404.44</v>
      </c>
      <c r="N52">
        <f t="shared" si="3"/>
        <v>3</v>
      </c>
      <c r="O52">
        <v>0</v>
      </c>
      <c r="P52" t="str">
        <f t="shared" si="4"/>
        <v>No</v>
      </c>
      <c r="Q52">
        <f>IF(Booking_Data[[#This Row],[Discounted Booking]]="Yes",1,0)</f>
        <v>0</v>
      </c>
      <c r="R52" t="s">
        <v>18</v>
      </c>
      <c r="S52">
        <f>IF(Booking_Data[[#This Row],[Cancellation Status]]="yes",1,0)</f>
        <v>1</v>
      </c>
    </row>
    <row r="53" spans="1:19" x14ac:dyDescent="0.35">
      <c r="A53" t="s">
        <v>133</v>
      </c>
      <c r="B53" t="s">
        <v>134</v>
      </c>
      <c r="C53" s="1">
        <v>45304</v>
      </c>
      <c r="D53" s="1">
        <v>45306</v>
      </c>
      <c r="E53" s="1">
        <v>45316</v>
      </c>
      <c r="F53" s="2">
        <f t="shared" si="0"/>
        <v>2</v>
      </c>
      <c r="G53" s="2" t="str">
        <f t="shared" si="1"/>
        <v>Saturday</v>
      </c>
      <c r="H53" s="2" t="str">
        <f t="shared" si="2"/>
        <v>January</v>
      </c>
      <c r="I53" t="s">
        <v>30</v>
      </c>
      <c r="J53" t="s">
        <v>31</v>
      </c>
      <c r="K53" t="s">
        <v>32</v>
      </c>
      <c r="L53" t="s">
        <v>27</v>
      </c>
      <c r="M53">
        <v>398.72</v>
      </c>
      <c r="N53">
        <f t="shared" si="3"/>
        <v>10</v>
      </c>
      <c r="O53">
        <v>0</v>
      </c>
      <c r="P53" t="str">
        <f t="shared" si="4"/>
        <v>No</v>
      </c>
      <c r="Q53">
        <f>IF(Booking_Data[[#This Row],[Discounted Booking]]="Yes",1,0)</f>
        <v>0</v>
      </c>
      <c r="R53" t="s">
        <v>24</v>
      </c>
      <c r="S53">
        <f>IF(Booking_Data[[#This Row],[Cancellation Status]]="yes",1,0)</f>
        <v>0</v>
      </c>
    </row>
    <row r="54" spans="1:19" x14ac:dyDescent="0.35">
      <c r="A54" t="s">
        <v>135</v>
      </c>
      <c r="B54" t="s">
        <v>136</v>
      </c>
      <c r="C54" s="1">
        <v>45304</v>
      </c>
      <c r="D54" s="1">
        <v>45326</v>
      </c>
      <c r="E54" s="1">
        <v>45332</v>
      </c>
      <c r="F54" s="2">
        <f t="shared" si="0"/>
        <v>2</v>
      </c>
      <c r="G54" s="2" t="str">
        <f t="shared" si="1"/>
        <v>Saturday</v>
      </c>
      <c r="H54" s="2" t="str">
        <f t="shared" si="2"/>
        <v>January</v>
      </c>
      <c r="I54" t="s">
        <v>14</v>
      </c>
      <c r="J54" t="s">
        <v>31</v>
      </c>
      <c r="K54" t="s">
        <v>32</v>
      </c>
      <c r="L54" t="s">
        <v>37</v>
      </c>
      <c r="M54">
        <v>671.46</v>
      </c>
      <c r="N54">
        <f t="shared" si="3"/>
        <v>6</v>
      </c>
      <c r="O54">
        <v>25</v>
      </c>
      <c r="P54" t="str">
        <f t="shared" si="4"/>
        <v>Yes</v>
      </c>
      <c r="Q54">
        <f>IF(Booking_Data[[#This Row],[Discounted Booking]]="Yes",1,0)</f>
        <v>1</v>
      </c>
      <c r="R54" t="s">
        <v>24</v>
      </c>
      <c r="S54">
        <f>IF(Booking_Data[[#This Row],[Cancellation Status]]="yes",1,0)</f>
        <v>0</v>
      </c>
    </row>
    <row r="55" spans="1:19" x14ac:dyDescent="0.35">
      <c r="A55" t="s">
        <v>137</v>
      </c>
      <c r="B55" t="s">
        <v>138</v>
      </c>
      <c r="C55" s="1">
        <v>45304</v>
      </c>
      <c r="D55" s="1">
        <v>45334</v>
      </c>
      <c r="E55" s="1">
        <v>45341</v>
      </c>
      <c r="F55" s="2">
        <f t="shared" si="0"/>
        <v>2</v>
      </c>
      <c r="G55" s="2" t="str">
        <f t="shared" si="1"/>
        <v>Saturday</v>
      </c>
      <c r="H55" s="2" t="str">
        <f t="shared" si="2"/>
        <v>January</v>
      </c>
      <c r="I55" t="s">
        <v>30</v>
      </c>
      <c r="J55" t="s">
        <v>15</v>
      </c>
      <c r="K55" t="s">
        <v>42</v>
      </c>
      <c r="L55" t="s">
        <v>37</v>
      </c>
      <c r="M55">
        <v>1382.32</v>
      </c>
      <c r="N55">
        <f t="shared" si="3"/>
        <v>7</v>
      </c>
      <c r="O55">
        <v>20</v>
      </c>
      <c r="P55" t="str">
        <f t="shared" si="4"/>
        <v>Yes</v>
      </c>
      <c r="Q55">
        <f>IF(Booking_Data[[#This Row],[Discounted Booking]]="Yes",1,0)</f>
        <v>1</v>
      </c>
      <c r="R55" t="s">
        <v>18</v>
      </c>
      <c r="S55">
        <f>IF(Booking_Data[[#This Row],[Cancellation Status]]="yes",1,0)</f>
        <v>1</v>
      </c>
    </row>
    <row r="56" spans="1:19" x14ac:dyDescent="0.35">
      <c r="A56" t="s">
        <v>139</v>
      </c>
      <c r="B56" t="s">
        <v>140</v>
      </c>
      <c r="C56" s="1">
        <v>45305</v>
      </c>
      <c r="D56" s="1">
        <v>45314</v>
      </c>
      <c r="E56" s="1">
        <v>45315</v>
      </c>
      <c r="F56" s="2">
        <f t="shared" si="0"/>
        <v>3</v>
      </c>
      <c r="G56" s="2" t="str">
        <f t="shared" si="1"/>
        <v>Sunday</v>
      </c>
      <c r="H56" s="2" t="str">
        <f t="shared" si="2"/>
        <v>January</v>
      </c>
      <c r="I56" t="s">
        <v>35</v>
      </c>
      <c r="J56" t="s">
        <v>36</v>
      </c>
      <c r="K56" t="s">
        <v>22</v>
      </c>
      <c r="L56" t="s">
        <v>27</v>
      </c>
      <c r="M56">
        <v>863.66</v>
      </c>
      <c r="N56">
        <f t="shared" si="3"/>
        <v>1</v>
      </c>
      <c r="O56">
        <v>20</v>
      </c>
      <c r="P56" t="str">
        <f t="shared" si="4"/>
        <v>Yes</v>
      </c>
      <c r="Q56">
        <f>IF(Booking_Data[[#This Row],[Discounted Booking]]="Yes",1,0)</f>
        <v>1</v>
      </c>
      <c r="R56" t="s">
        <v>24</v>
      </c>
      <c r="S56">
        <f>IF(Booking_Data[[#This Row],[Cancellation Status]]="yes",1,0)</f>
        <v>0</v>
      </c>
    </row>
    <row r="57" spans="1:19" x14ac:dyDescent="0.35">
      <c r="A57" t="s">
        <v>141</v>
      </c>
      <c r="B57" t="s">
        <v>142</v>
      </c>
      <c r="C57" s="1">
        <v>45305</v>
      </c>
      <c r="D57" s="1">
        <v>45332</v>
      </c>
      <c r="E57" s="1">
        <v>45338</v>
      </c>
      <c r="F57" s="2">
        <f t="shared" si="0"/>
        <v>3</v>
      </c>
      <c r="G57" s="2" t="str">
        <f t="shared" si="1"/>
        <v>Sunday</v>
      </c>
      <c r="H57" s="2" t="str">
        <f t="shared" si="2"/>
        <v>January</v>
      </c>
      <c r="I57" t="s">
        <v>30</v>
      </c>
      <c r="J57" t="s">
        <v>15</v>
      </c>
      <c r="K57" t="s">
        <v>22</v>
      </c>
      <c r="L57" t="s">
        <v>23</v>
      </c>
      <c r="M57">
        <v>610.71</v>
      </c>
      <c r="N57">
        <f t="shared" si="3"/>
        <v>6</v>
      </c>
      <c r="O57">
        <v>15</v>
      </c>
      <c r="P57" t="str">
        <f t="shared" si="4"/>
        <v>Yes</v>
      </c>
      <c r="Q57">
        <f>IF(Booking_Data[[#This Row],[Discounted Booking]]="Yes",1,0)</f>
        <v>1</v>
      </c>
      <c r="R57" t="s">
        <v>24</v>
      </c>
      <c r="S57">
        <f>IF(Booking_Data[[#This Row],[Cancellation Status]]="yes",1,0)</f>
        <v>0</v>
      </c>
    </row>
    <row r="58" spans="1:19" x14ac:dyDescent="0.35">
      <c r="A58" t="s">
        <v>143</v>
      </c>
      <c r="B58" t="s">
        <v>144</v>
      </c>
      <c r="C58" s="1">
        <v>45305</v>
      </c>
      <c r="D58" s="1">
        <v>45320</v>
      </c>
      <c r="E58" s="1">
        <v>45329</v>
      </c>
      <c r="F58" s="2">
        <f t="shared" si="0"/>
        <v>3</v>
      </c>
      <c r="G58" s="2" t="str">
        <f t="shared" si="1"/>
        <v>Sunday</v>
      </c>
      <c r="H58" s="2" t="str">
        <f t="shared" si="2"/>
        <v>January</v>
      </c>
      <c r="I58" t="s">
        <v>30</v>
      </c>
      <c r="J58" t="s">
        <v>31</v>
      </c>
      <c r="K58" t="s">
        <v>32</v>
      </c>
      <c r="L58" t="s">
        <v>17</v>
      </c>
      <c r="M58">
        <v>1152.23</v>
      </c>
      <c r="N58">
        <f t="shared" si="3"/>
        <v>9</v>
      </c>
      <c r="O58">
        <v>25</v>
      </c>
      <c r="P58" t="str">
        <f t="shared" si="4"/>
        <v>Yes</v>
      </c>
      <c r="Q58">
        <f>IF(Booking_Data[[#This Row],[Discounted Booking]]="Yes",1,0)</f>
        <v>1</v>
      </c>
      <c r="R58" t="s">
        <v>18</v>
      </c>
      <c r="S58">
        <f>IF(Booking_Data[[#This Row],[Cancellation Status]]="yes",1,0)</f>
        <v>1</v>
      </c>
    </row>
    <row r="59" spans="1:19" x14ac:dyDescent="0.35">
      <c r="A59" t="s">
        <v>145</v>
      </c>
      <c r="B59" t="s">
        <v>146</v>
      </c>
      <c r="C59" s="1">
        <v>45306</v>
      </c>
      <c r="D59" s="1">
        <v>45330</v>
      </c>
      <c r="E59" s="1">
        <v>45339</v>
      </c>
      <c r="F59" s="2">
        <f t="shared" si="0"/>
        <v>3</v>
      </c>
      <c r="G59" s="2" t="str">
        <f t="shared" si="1"/>
        <v>Monday</v>
      </c>
      <c r="H59" s="2" t="str">
        <f t="shared" si="2"/>
        <v>January</v>
      </c>
      <c r="I59" t="s">
        <v>35</v>
      </c>
      <c r="J59" t="s">
        <v>15</v>
      </c>
      <c r="K59" t="s">
        <v>22</v>
      </c>
      <c r="L59" t="s">
        <v>27</v>
      </c>
      <c r="M59">
        <v>1005.82</v>
      </c>
      <c r="N59">
        <f t="shared" si="3"/>
        <v>9</v>
      </c>
      <c r="O59">
        <v>10</v>
      </c>
      <c r="P59" t="str">
        <f t="shared" si="4"/>
        <v>Yes</v>
      </c>
      <c r="Q59">
        <f>IF(Booking_Data[[#This Row],[Discounted Booking]]="Yes",1,0)</f>
        <v>1</v>
      </c>
      <c r="R59" t="s">
        <v>24</v>
      </c>
      <c r="S59">
        <f>IF(Booking_Data[[#This Row],[Cancellation Status]]="yes",1,0)</f>
        <v>0</v>
      </c>
    </row>
    <row r="60" spans="1:19" x14ac:dyDescent="0.35">
      <c r="A60" t="s">
        <v>147</v>
      </c>
      <c r="B60" t="s">
        <v>148</v>
      </c>
      <c r="C60" s="1">
        <v>45306</v>
      </c>
      <c r="D60" s="1">
        <v>45308</v>
      </c>
      <c r="E60" s="1">
        <v>45315</v>
      </c>
      <c r="F60" s="2">
        <f t="shared" si="0"/>
        <v>3</v>
      </c>
      <c r="G60" s="2" t="str">
        <f t="shared" si="1"/>
        <v>Monday</v>
      </c>
      <c r="H60" s="2" t="str">
        <f t="shared" si="2"/>
        <v>January</v>
      </c>
      <c r="I60" t="s">
        <v>30</v>
      </c>
      <c r="J60" t="s">
        <v>21</v>
      </c>
      <c r="K60" t="s">
        <v>16</v>
      </c>
      <c r="L60" t="s">
        <v>17</v>
      </c>
      <c r="M60">
        <v>439.74</v>
      </c>
      <c r="N60">
        <f t="shared" si="3"/>
        <v>7</v>
      </c>
      <c r="O60">
        <v>15</v>
      </c>
      <c r="P60" t="str">
        <f t="shared" si="4"/>
        <v>Yes</v>
      </c>
      <c r="Q60">
        <f>IF(Booking_Data[[#This Row],[Discounted Booking]]="Yes",1,0)</f>
        <v>1</v>
      </c>
      <c r="R60" t="s">
        <v>18</v>
      </c>
      <c r="S60">
        <f>IF(Booking_Data[[#This Row],[Cancellation Status]]="yes",1,0)</f>
        <v>1</v>
      </c>
    </row>
    <row r="61" spans="1:19" x14ac:dyDescent="0.35">
      <c r="A61" t="s">
        <v>149</v>
      </c>
      <c r="B61" t="s">
        <v>150</v>
      </c>
      <c r="C61" s="1">
        <v>45306</v>
      </c>
      <c r="D61" s="1">
        <v>45335</v>
      </c>
      <c r="E61" s="1">
        <v>45340</v>
      </c>
      <c r="F61" s="2">
        <f t="shared" si="0"/>
        <v>3</v>
      </c>
      <c r="G61" s="2" t="str">
        <f t="shared" si="1"/>
        <v>Monday</v>
      </c>
      <c r="H61" s="2" t="str">
        <f t="shared" si="2"/>
        <v>January</v>
      </c>
      <c r="I61" t="s">
        <v>30</v>
      </c>
      <c r="J61" t="s">
        <v>15</v>
      </c>
      <c r="K61" t="s">
        <v>16</v>
      </c>
      <c r="L61" t="s">
        <v>17</v>
      </c>
      <c r="M61">
        <v>1238.2</v>
      </c>
      <c r="N61">
        <f t="shared" si="3"/>
        <v>5</v>
      </c>
      <c r="O61">
        <v>10</v>
      </c>
      <c r="P61" t="str">
        <f t="shared" si="4"/>
        <v>Yes</v>
      </c>
      <c r="Q61">
        <f>IF(Booking_Data[[#This Row],[Discounted Booking]]="Yes",1,0)</f>
        <v>1</v>
      </c>
      <c r="R61" t="s">
        <v>18</v>
      </c>
      <c r="S61">
        <f>IF(Booking_Data[[#This Row],[Cancellation Status]]="yes",1,0)</f>
        <v>1</v>
      </c>
    </row>
    <row r="62" spans="1:19" x14ac:dyDescent="0.35">
      <c r="A62" t="s">
        <v>151</v>
      </c>
      <c r="B62" t="s">
        <v>152</v>
      </c>
      <c r="C62" s="1">
        <v>45306</v>
      </c>
      <c r="D62" s="1">
        <v>45310</v>
      </c>
      <c r="E62" s="1">
        <v>45312</v>
      </c>
      <c r="F62" s="2">
        <f t="shared" si="0"/>
        <v>3</v>
      </c>
      <c r="G62" s="2" t="str">
        <f t="shared" si="1"/>
        <v>Monday</v>
      </c>
      <c r="H62" s="2" t="str">
        <f t="shared" si="2"/>
        <v>January</v>
      </c>
      <c r="I62" t="s">
        <v>35</v>
      </c>
      <c r="J62" t="s">
        <v>15</v>
      </c>
      <c r="K62" t="s">
        <v>49</v>
      </c>
      <c r="L62" t="s">
        <v>37</v>
      </c>
      <c r="M62">
        <v>1422.7</v>
      </c>
      <c r="N62">
        <f t="shared" si="3"/>
        <v>2</v>
      </c>
      <c r="O62">
        <v>5</v>
      </c>
      <c r="P62" t="str">
        <f t="shared" si="4"/>
        <v>Yes</v>
      </c>
      <c r="Q62">
        <f>IF(Booking_Data[[#This Row],[Discounted Booking]]="Yes",1,0)</f>
        <v>1</v>
      </c>
      <c r="R62" t="s">
        <v>24</v>
      </c>
      <c r="S62">
        <f>IF(Booking_Data[[#This Row],[Cancellation Status]]="yes",1,0)</f>
        <v>0</v>
      </c>
    </row>
    <row r="63" spans="1:19" x14ac:dyDescent="0.35">
      <c r="A63" t="s">
        <v>153</v>
      </c>
      <c r="B63" t="s">
        <v>154</v>
      </c>
      <c r="C63" s="1">
        <v>45306</v>
      </c>
      <c r="D63" s="1">
        <v>45310</v>
      </c>
      <c r="E63" s="1">
        <v>45319</v>
      </c>
      <c r="F63" s="2">
        <f t="shared" si="0"/>
        <v>3</v>
      </c>
      <c r="G63" s="2" t="str">
        <f t="shared" si="1"/>
        <v>Monday</v>
      </c>
      <c r="H63" s="2" t="str">
        <f t="shared" si="2"/>
        <v>January</v>
      </c>
      <c r="I63" t="s">
        <v>35</v>
      </c>
      <c r="J63" t="s">
        <v>36</v>
      </c>
      <c r="K63" t="s">
        <v>49</v>
      </c>
      <c r="L63" t="s">
        <v>23</v>
      </c>
      <c r="M63">
        <v>499.21</v>
      </c>
      <c r="N63">
        <f t="shared" si="3"/>
        <v>9</v>
      </c>
      <c r="O63">
        <v>25</v>
      </c>
      <c r="P63" t="str">
        <f t="shared" si="4"/>
        <v>Yes</v>
      </c>
      <c r="Q63">
        <f>IF(Booking_Data[[#This Row],[Discounted Booking]]="Yes",1,0)</f>
        <v>1</v>
      </c>
      <c r="R63" t="s">
        <v>18</v>
      </c>
      <c r="S63">
        <f>IF(Booking_Data[[#This Row],[Cancellation Status]]="yes",1,0)</f>
        <v>1</v>
      </c>
    </row>
    <row r="64" spans="1:19" x14ac:dyDescent="0.35">
      <c r="A64" t="s">
        <v>155</v>
      </c>
      <c r="B64" t="s">
        <v>156</v>
      </c>
      <c r="C64" s="1">
        <v>45307</v>
      </c>
      <c r="D64" s="1">
        <v>45337</v>
      </c>
      <c r="E64" s="1">
        <v>45339</v>
      </c>
      <c r="F64" s="2">
        <f t="shared" si="0"/>
        <v>3</v>
      </c>
      <c r="G64" s="2" t="str">
        <f t="shared" si="1"/>
        <v>Tuesday</v>
      </c>
      <c r="H64" s="2" t="str">
        <f t="shared" si="2"/>
        <v>January</v>
      </c>
      <c r="I64" t="s">
        <v>35</v>
      </c>
      <c r="J64" t="s">
        <v>31</v>
      </c>
      <c r="K64" t="s">
        <v>58</v>
      </c>
      <c r="L64" t="s">
        <v>17</v>
      </c>
      <c r="M64">
        <v>1223.21</v>
      </c>
      <c r="N64">
        <f t="shared" si="3"/>
        <v>2</v>
      </c>
      <c r="O64">
        <v>15</v>
      </c>
      <c r="P64" t="str">
        <f t="shared" si="4"/>
        <v>Yes</v>
      </c>
      <c r="Q64">
        <f>IF(Booking_Data[[#This Row],[Discounted Booking]]="Yes",1,0)</f>
        <v>1</v>
      </c>
      <c r="R64" t="s">
        <v>18</v>
      </c>
      <c r="S64">
        <f>IF(Booking_Data[[#This Row],[Cancellation Status]]="yes",1,0)</f>
        <v>1</v>
      </c>
    </row>
    <row r="65" spans="1:19" x14ac:dyDescent="0.35">
      <c r="A65" t="s">
        <v>157</v>
      </c>
      <c r="B65" t="s">
        <v>158</v>
      </c>
      <c r="C65" s="1">
        <v>45307</v>
      </c>
      <c r="D65" s="1">
        <v>45334</v>
      </c>
      <c r="E65" s="1">
        <v>45335</v>
      </c>
      <c r="F65" s="2">
        <f t="shared" si="0"/>
        <v>3</v>
      </c>
      <c r="G65" s="2" t="str">
        <f t="shared" si="1"/>
        <v>Tuesday</v>
      </c>
      <c r="H65" s="2" t="str">
        <f t="shared" si="2"/>
        <v>January</v>
      </c>
      <c r="I65" t="s">
        <v>35</v>
      </c>
      <c r="J65" t="s">
        <v>21</v>
      </c>
      <c r="K65" t="s">
        <v>32</v>
      </c>
      <c r="L65" t="s">
        <v>27</v>
      </c>
      <c r="M65">
        <v>204.28</v>
      </c>
      <c r="N65">
        <f t="shared" si="3"/>
        <v>1</v>
      </c>
      <c r="O65">
        <v>20</v>
      </c>
      <c r="P65" t="str">
        <f t="shared" si="4"/>
        <v>Yes</v>
      </c>
      <c r="Q65">
        <f>IF(Booking_Data[[#This Row],[Discounted Booking]]="Yes",1,0)</f>
        <v>1</v>
      </c>
      <c r="R65" t="s">
        <v>18</v>
      </c>
      <c r="S65">
        <f>IF(Booking_Data[[#This Row],[Cancellation Status]]="yes",1,0)</f>
        <v>1</v>
      </c>
    </row>
    <row r="66" spans="1:19" x14ac:dyDescent="0.35">
      <c r="A66" t="s">
        <v>159</v>
      </c>
      <c r="B66" t="s">
        <v>160</v>
      </c>
      <c r="C66" s="1">
        <v>45308</v>
      </c>
      <c r="D66" s="1">
        <v>45311</v>
      </c>
      <c r="E66" s="1">
        <v>45318</v>
      </c>
      <c r="F66" s="2">
        <f t="shared" ref="F66:F129" si="5">WEEKNUM(C66) - WEEKNUM(DATE(YEAR(C66), MONTH(C66), 1)) + 1</f>
        <v>3</v>
      </c>
      <c r="G66" s="2" t="str">
        <f t="shared" ref="G66:G129" si="6">TEXT(C66,"dddd")</f>
        <v>Wednesday</v>
      </c>
      <c r="H66" s="2" t="str">
        <f t="shared" ref="H66:H129" si="7">TEXT(C66, "mmmm")</f>
        <v>January</v>
      </c>
      <c r="I66" t="s">
        <v>14</v>
      </c>
      <c r="J66" t="s">
        <v>36</v>
      </c>
      <c r="K66" t="s">
        <v>42</v>
      </c>
      <c r="L66" t="s">
        <v>17</v>
      </c>
      <c r="M66">
        <v>699.68</v>
      </c>
      <c r="N66">
        <f t="shared" ref="N66:N129" si="8">_xlfn.DAYS(E66,D66)</f>
        <v>7</v>
      </c>
      <c r="O66">
        <v>25</v>
      </c>
      <c r="P66" t="str">
        <f t="shared" si="4"/>
        <v>Yes</v>
      </c>
      <c r="Q66">
        <f>IF(Booking_Data[[#This Row],[Discounted Booking]]="Yes",1,0)</f>
        <v>1</v>
      </c>
      <c r="R66" t="s">
        <v>24</v>
      </c>
      <c r="S66">
        <f>IF(Booking_Data[[#This Row],[Cancellation Status]]="yes",1,0)</f>
        <v>0</v>
      </c>
    </row>
    <row r="67" spans="1:19" x14ac:dyDescent="0.35">
      <c r="A67" t="s">
        <v>161</v>
      </c>
      <c r="B67" t="s">
        <v>162</v>
      </c>
      <c r="C67" s="1">
        <v>45308</v>
      </c>
      <c r="D67" s="1">
        <v>45330</v>
      </c>
      <c r="E67" s="1">
        <v>45337</v>
      </c>
      <c r="F67" s="2">
        <f t="shared" si="5"/>
        <v>3</v>
      </c>
      <c r="G67" s="2" t="str">
        <f t="shared" si="6"/>
        <v>Wednesday</v>
      </c>
      <c r="H67" s="2" t="str">
        <f t="shared" si="7"/>
        <v>January</v>
      </c>
      <c r="I67" t="s">
        <v>35</v>
      </c>
      <c r="J67" t="s">
        <v>36</v>
      </c>
      <c r="K67" t="s">
        <v>16</v>
      </c>
      <c r="L67" t="s">
        <v>23</v>
      </c>
      <c r="M67">
        <v>283.74</v>
      </c>
      <c r="N67">
        <f t="shared" si="8"/>
        <v>7</v>
      </c>
      <c r="O67">
        <v>15</v>
      </c>
      <c r="P67" t="str">
        <f t="shared" ref="P67:P130" si="9">IF(O67&gt;0, "Yes","No")</f>
        <v>Yes</v>
      </c>
      <c r="Q67">
        <f>IF(Booking_Data[[#This Row],[Discounted Booking]]="Yes",1,0)</f>
        <v>1</v>
      </c>
      <c r="R67" t="s">
        <v>24</v>
      </c>
      <c r="S67">
        <f>IF(Booking_Data[[#This Row],[Cancellation Status]]="yes",1,0)</f>
        <v>0</v>
      </c>
    </row>
    <row r="68" spans="1:19" x14ac:dyDescent="0.35">
      <c r="A68" t="s">
        <v>163</v>
      </c>
      <c r="B68" t="s">
        <v>164</v>
      </c>
      <c r="C68" s="1">
        <v>45308</v>
      </c>
      <c r="D68" s="1">
        <v>45310</v>
      </c>
      <c r="E68" s="1">
        <v>45311</v>
      </c>
      <c r="F68" s="2">
        <f t="shared" si="5"/>
        <v>3</v>
      </c>
      <c r="G68" s="2" t="str">
        <f t="shared" si="6"/>
        <v>Wednesday</v>
      </c>
      <c r="H68" s="2" t="str">
        <f t="shared" si="7"/>
        <v>January</v>
      </c>
      <c r="I68" t="s">
        <v>30</v>
      </c>
      <c r="J68" t="s">
        <v>36</v>
      </c>
      <c r="K68" t="s">
        <v>16</v>
      </c>
      <c r="L68" t="s">
        <v>17</v>
      </c>
      <c r="M68">
        <v>1171.93</v>
      </c>
      <c r="N68">
        <f t="shared" si="8"/>
        <v>1</v>
      </c>
      <c r="O68">
        <v>10</v>
      </c>
      <c r="P68" t="str">
        <f t="shared" si="9"/>
        <v>Yes</v>
      </c>
      <c r="Q68">
        <f>IF(Booking_Data[[#This Row],[Discounted Booking]]="Yes",1,0)</f>
        <v>1</v>
      </c>
      <c r="R68" t="s">
        <v>18</v>
      </c>
      <c r="S68">
        <f>IF(Booking_Data[[#This Row],[Cancellation Status]]="yes",1,0)</f>
        <v>1</v>
      </c>
    </row>
    <row r="69" spans="1:19" x14ac:dyDescent="0.35">
      <c r="A69" t="s">
        <v>165</v>
      </c>
      <c r="B69" t="s">
        <v>166</v>
      </c>
      <c r="C69" s="1">
        <v>45308</v>
      </c>
      <c r="D69" s="1">
        <v>45318</v>
      </c>
      <c r="E69" s="1">
        <v>45327</v>
      </c>
      <c r="F69" s="2">
        <f t="shared" si="5"/>
        <v>3</v>
      </c>
      <c r="G69" s="2" t="str">
        <f t="shared" si="6"/>
        <v>Wednesday</v>
      </c>
      <c r="H69" s="2" t="str">
        <f t="shared" si="7"/>
        <v>January</v>
      </c>
      <c r="I69" t="s">
        <v>14</v>
      </c>
      <c r="J69" t="s">
        <v>31</v>
      </c>
      <c r="K69" t="s">
        <v>49</v>
      </c>
      <c r="L69" t="s">
        <v>27</v>
      </c>
      <c r="M69">
        <v>1217.3</v>
      </c>
      <c r="N69">
        <f t="shared" si="8"/>
        <v>9</v>
      </c>
      <c r="O69">
        <v>15</v>
      </c>
      <c r="P69" t="str">
        <f t="shared" si="9"/>
        <v>Yes</v>
      </c>
      <c r="Q69">
        <f>IF(Booking_Data[[#This Row],[Discounted Booking]]="Yes",1,0)</f>
        <v>1</v>
      </c>
      <c r="R69" t="s">
        <v>18</v>
      </c>
      <c r="S69">
        <f>IF(Booking_Data[[#This Row],[Cancellation Status]]="yes",1,0)</f>
        <v>1</v>
      </c>
    </row>
    <row r="70" spans="1:19" x14ac:dyDescent="0.35">
      <c r="A70" t="s">
        <v>167</v>
      </c>
      <c r="B70" t="s">
        <v>168</v>
      </c>
      <c r="C70" s="1">
        <v>45308</v>
      </c>
      <c r="D70" s="1">
        <v>45320</v>
      </c>
      <c r="E70" s="1">
        <v>45322</v>
      </c>
      <c r="F70" s="2">
        <f t="shared" si="5"/>
        <v>3</v>
      </c>
      <c r="G70" s="2" t="str">
        <f t="shared" si="6"/>
        <v>Wednesday</v>
      </c>
      <c r="H70" s="2" t="str">
        <f t="shared" si="7"/>
        <v>January</v>
      </c>
      <c r="I70" t="s">
        <v>30</v>
      </c>
      <c r="J70" t="s">
        <v>36</v>
      </c>
      <c r="K70" t="s">
        <v>58</v>
      </c>
      <c r="L70" t="s">
        <v>27</v>
      </c>
      <c r="M70">
        <v>503.38</v>
      </c>
      <c r="N70">
        <f t="shared" si="8"/>
        <v>2</v>
      </c>
      <c r="O70">
        <v>15</v>
      </c>
      <c r="P70" t="str">
        <f t="shared" si="9"/>
        <v>Yes</v>
      </c>
      <c r="Q70">
        <f>IF(Booking_Data[[#This Row],[Discounted Booking]]="Yes",1,0)</f>
        <v>1</v>
      </c>
      <c r="R70" t="s">
        <v>18</v>
      </c>
      <c r="S70">
        <f>IF(Booking_Data[[#This Row],[Cancellation Status]]="yes",1,0)</f>
        <v>1</v>
      </c>
    </row>
    <row r="71" spans="1:19" x14ac:dyDescent="0.35">
      <c r="A71" t="s">
        <v>169</v>
      </c>
      <c r="B71" t="s">
        <v>170</v>
      </c>
      <c r="C71" s="1">
        <v>45308</v>
      </c>
      <c r="D71" s="1">
        <v>45335</v>
      </c>
      <c r="E71" s="1">
        <v>45338</v>
      </c>
      <c r="F71" s="2">
        <f t="shared" si="5"/>
        <v>3</v>
      </c>
      <c r="G71" s="2" t="str">
        <f t="shared" si="6"/>
        <v>Wednesday</v>
      </c>
      <c r="H71" s="2" t="str">
        <f t="shared" si="7"/>
        <v>January</v>
      </c>
      <c r="I71" t="s">
        <v>14</v>
      </c>
      <c r="J71" t="s">
        <v>36</v>
      </c>
      <c r="K71" t="s">
        <v>58</v>
      </c>
      <c r="L71" t="s">
        <v>23</v>
      </c>
      <c r="M71">
        <v>244.81</v>
      </c>
      <c r="N71">
        <f t="shared" si="8"/>
        <v>3</v>
      </c>
      <c r="O71">
        <v>20</v>
      </c>
      <c r="P71" t="str">
        <f t="shared" si="9"/>
        <v>Yes</v>
      </c>
      <c r="Q71">
        <f>IF(Booking_Data[[#This Row],[Discounted Booking]]="Yes",1,0)</f>
        <v>1</v>
      </c>
      <c r="R71" t="s">
        <v>24</v>
      </c>
      <c r="S71">
        <f>IF(Booking_Data[[#This Row],[Cancellation Status]]="yes",1,0)</f>
        <v>0</v>
      </c>
    </row>
    <row r="72" spans="1:19" x14ac:dyDescent="0.35">
      <c r="A72" t="s">
        <v>171</v>
      </c>
      <c r="B72" t="s">
        <v>172</v>
      </c>
      <c r="C72" s="1">
        <v>45309</v>
      </c>
      <c r="D72" s="1">
        <v>45322</v>
      </c>
      <c r="E72" s="1">
        <v>45330</v>
      </c>
      <c r="F72" s="2">
        <f t="shared" si="5"/>
        <v>3</v>
      </c>
      <c r="G72" s="2" t="str">
        <f t="shared" si="6"/>
        <v>Thursday</v>
      </c>
      <c r="H72" s="2" t="str">
        <f t="shared" si="7"/>
        <v>January</v>
      </c>
      <c r="I72" t="s">
        <v>30</v>
      </c>
      <c r="J72" t="s">
        <v>15</v>
      </c>
      <c r="K72" t="s">
        <v>32</v>
      </c>
      <c r="L72" t="s">
        <v>23</v>
      </c>
      <c r="M72">
        <v>1227.1400000000001</v>
      </c>
      <c r="N72">
        <f t="shared" si="8"/>
        <v>8</v>
      </c>
      <c r="O72">
        <v>15</v>
      </c>
      <c r="P72" t="str">
        <f t="shared" si="9"/>
        <v>Yes</v>
      </c>
      <c r="Q72">
        <f>IF(Booking_Data[[#This Row],[Discounted Booking]]="Yes",1,0)</f>
        <v>1</v>
      </c>
      <c r="R72" t="s">
        <v>24</v>
      </c>
      <c r="S72">
        <f>IF(Booking_Data[[#This Row],[Cancellation Status]]="yes",1,0)</f>
        <v>0</v>
      </c>
    </row>
    <row r="73" spans="1:19" x14ac:dyDescent="0.35">
      <c r="A73" t="s">
        <v>173</v>
      </c>
      <c r="B73" t="s">
        <v>174</v>
      </c>
      <c r="C73" s="1">
        <v>45309</v>
      </c>
      <c r="D73" s="1">
        <v>45321</v>
      </c>
      <c r="E73" s="1">
        <v>45328</v>
      </c>
      <c r="F73" s="2">
        <f t="shared" si="5"/>
        <v>3</v>
      </c>
      <c r="G73" s="2" t="str">
        <f t="shared" si="6"/>
        <v>Thursday</v>
      </c>
      <c r="H73" s="2" t="str">
        <f t="shared" si="7"/>
        <v>January</v>
      </c>
      <c r="I73" t="s">
        <v>14</v>
      </c>
      <c r="J73" t="s">
        <v>31</v>
      </c>
      <c r="K73" t="s">
        <v>42</v>
      </c>
      <c r="L73" t="s">
        <v>17</v>
      </c>
      <c r="M73">
        <v>609.29999999999995</v>
      </c>
      <c r="N73">
        <f t="shared" si="8"/>
        <v>7</v>
      </c>
      <c r="O73">
        <v>25</v>
      </c>
      <c r="P73" t="str">
        <f t="shared" si="9"/>
        <v>Yes</v>
      </c>
      <c r="Q73">
        <f>IF(Booking_Data[[#This Row],[Discounted Booking]]="Yes",1,0)</f>
        <v>1</v>
      </c>
      <c r="R73" t="s">
        <v>18</v>
      </c>
      <c r="S73">
        <f>IF(Booking_Data[[#This Row],[Cancellation Status]]="yes",1,0)</f>
        <v>1</v>
      </c>
    </row>
    <row r="74" spans="1:19" x14ac:dyDescent="0.35">
      <c r="A74" t="s">
        <v>175</v>
      </c>
      <c r="B74" t="s">
        <v>176</v>
      </c>
      <c r="C74" s="1">
        <v>45309</v>
      </c>
      <c r="D74" s="1">
        <v>45322</v>
      </c>
      <c r="E74" s="1">
        <v>45324</v>
      </c>
      <c r="F74" s="2">
        <f t="shared" si="5"/>
        <v>3</v>
      </c>
      <c r="G74" s="2" t="str">
        <f t="shared" si="6"/>
        <v>Thursday</v>
      </c>
      <c r="H74" s="2" t="str">
        <f t="shared" si="7"/>
        <v>January</v>
      </c>
      <c r="I74" t="s">
        <v>35</v>
      </c>
      <c r="J74" t="s">
        <v>36</v>
      </c>
      <c r="K74" t="s">
        <v>58</v>
      </c>
      <c r="L74" t="s">
        <v>23</v>
      </c>
      <c r="M74">
        <v>711.11</v>
      </c>
      <c r="N74">
        <f t="shared" si="8"/>
        <v>2</v>
      </c>
      <c r="O74">
        <v>20</v>
      </c>
      <c r="P74" t="str">
        <f t="shared" si="9"/>
        <v>Yes</v>
      </c>
      <c r="Q74">
        <f>IF(Booking_Data[[#This Row],[Discounted Booking]]="Yes",1,0)</f>
        <v>1</v>
      </c>
      <c r="R74" t="s">
        <v>24</v>
      </c>
      <c r="S74">
        <f>IF(Booking_Data[[#This Row],[Cancellation Status]]="yes",1,0)</f>
        <v>0</v>
      </c>
    </row>
    <row r="75" spans="1:19" x14ac:dyDescent="0.35">
      <c r="A75" t="s">
        <v>177</v>
      </c>
      <c r="B75" t="s">
        <v>178</v>
      </c>
      <c r="C75" s="1">
        <v>45310</v>
      </c>
      <c r="D75" s="1">
        <v>45313</v>
      </c>
      <c r="E75" s="1">
        <v>45320</v>
      </c>
      <c r="F75" s="2">
        <f t="shared" si="5"/>
        <v>3</v>
      </c>
      <c r="G75" s="2" t="str">
        <f t="shared" si="6"/>
        <v>Friday</v>
      </c>
      <c r="H75" s="2" t="str">
        <f t="shared" si="7"/>
        <v>January</v>
      </c>
      <c r="I75" t="s">
        <v>14</v>
      </c>
      <c r="J75" t="s">
        <v>15</v>
      </c>
      <c r="K75" t="s">
        <v>22</v>
      </c>
      <c r="L75" t="s">
        <v>27</v>
      </c>
      <c r="M75">
        <v>974.93</v>
      </c>
      <c r="N75">
        <f t="shared" si="8"/>
        <v>7</v>
      </c>
      <c r="O75">
        <v>10</v>
      </c>
      <c r="P75" t="str">
        <f t="shared" si="9"/>
        <v>Yes</v>
      </c>
      <c r="Q75">
        <f>IF(Booking_Data[[#This Row],[Discounted Booking]]="Yes",1,0)</f>
        <v>1</v>
      </c>
      <c r="R75" t="s">
        <v>24</v>
      </c>
      <c r="S75">
        <f>IF(Booking_Data[[#This Row],[Cancellation Status]]="yes",1,0)</f>
        <v>0</v>
      </c>
    </row>
    <row r="76" spans="1:19" x14ac:dyDescent="0.35">
      <c r="A76" t="s">
        <v>179</v>
      </c>
      <c r="B76" t="s">
        <v>180</v>
      </c>
      <c r="C76" s="1">
        <v>45310</v>
      </c>
      <c r="D76" s="1">
        <v>45327</v>
      </c>
      <c r="E76" s="1">
        <v>45334</v>
      </c>
      <c r="F76" s="2">
        <f t="shared" si="5"/>
        <v>3</v>
      </c>
      <c r="G76" s="2" t="str">
        <f t="shared" si="6"/>
        <v>Friday</v>
      </c>
      <c r="H76" s="2" t="str">
        <f t="shared" si="7"/>
        <v>January</v>
      </c>
      <c r="I76" t="s">
        <v>14</v>
      </c>
      <c r="J76" t="s">
        <v>36</v>
      </c>
      <c r="K76" t="s">
        <v>58</v>
      </c>
      <c r="L76" t="s">
        <v>37</v>
      </c>
      <c r="M76">
        <v>204.65</v>
      </c>
      <c r="N76">
        <f t="shared" si="8"/>
        <v>7</v>
      </c>
      <c r="O76">
        <v>15</v>
      </c>
      <c r="P76" t="str">
        <f t="shared" si="9"/>
        <v>Yes</v>
      </c>
      <c r="Q76">
        <f>IF(Booking_Data[[#This Row],[Discounted Booking]]="Yes",1,0)</f>
        <v>1</v>
      </c>
      <c r="R76" t="s">
        <v>24</v>
      </c>
      <c r="S76">
        <f>IF(Booking_Data[[#This Row],[Cancellation Status]]="yes",1,0)</f>
        <v>0</v>
      </c>
    </row>
    <row r="77" spans="1:19" x14ac:dyDescent="0.35">
      <c r="A77" t="s">
        <v>181</v>
      </c>
      <c r="B77" t="s">
        <v>182</v>
      </c>
      <c r="C77" s="1">
        <v>45310</v>
      </c>
      <c r="D77" s="1">
        <v>45322</v>
      </c>
      <c r="E77" s="1">
        <v>45329</v>
      </c>
      <c r="F77" s="2">
        <f t="shared" si="5"/>
        <v>3</v>
      </c>
      <c r="G77" s="2" t="str">
        <f t="shared" si="6"/>
        <v>Friday</v>
      </c>
      <c r="H77" s="2" t="str">
        <f t="shared" si="7"/>
        <v>January</v>
      </c>
      <c r="I77" t="s">
        <v>35</v>
      </c>
      <c r="J77" t="s">
        <v>31</v>
      </c>
      <c r="K77" t="s">
        <v>42</v>
      </c>
      <c r="L77" t="s">
        <v>27</v>
      </c>
      <c r="M77">
        <v>183.71</v>
      </c>
      <c r="N77">
        <f t="shared" si="8"/>
        <v>7</v>
      </c>
      <c r="O77">
        <v>20</v>
      </c>
      <c r="P77" t="str">
        <f t="shared" si="9"/>
        <v>Yes</v>
      </c>
      <c r="Q77">
        <f>IF(Booking_Data[[#This Row],[Discounted Booking]]="Yes",1,0)</f>
        <v>1</v>
      </c>
      <c r="R77" t="s">
        <v>18</v>
      </c>
      <c r="S77">
        <f>IF(Booking_Data[[#This Row],[Cancellation Status]]="yes",1,0)</f>
        <v>1</v>
      </c>
    </row>
    <row r="78" spans="1:19" x14ac:dyDescent="0.35">
      <c r="A78" t="s">
        <v>183</v>
      </c>
      <c r="B78" t="s">
        <v>184</v>
      </c>
      <c r="C78" s="1">
        <v>45310</v>
      </c>
      <c r="D78" s="1">
        <v>45316</v>
      </c>
      <c r="E78" s="1">
        <v>45322</v>
      </c>
      <c r="F78" s="2">
        <f t="shared" si="5"/>
        <v>3</v>
      </c>
      <c r="G78" s="2" t="str">
        <f t="shared" si="6"/>
        <v>Friday</v>
      </c>
      <c r="H78" s="2" t="str">
        <f t="shared" si="7"/>
        <v>January</v>
      </c>
      <c r="I78" t="s">
        <v>35</v>
      </c>
      <c r="J78" t="s">
        <v>21</v>
      </c>
      <c r="K78" t="s">
        <v>16</v>
      </c>
      <c r="L78" t="s">
        <v>23</v>
      </c>
      <c r="M78">
        <v>189.48</v>
      </c>
      <c r="N78">
        <f t="shared" si="8"/>
        <v>6</v>
      </c>
      <c r="O78">
        <v>10</v>
      </c>
      <c r="P78" t="str">
        <f t="shared" si="9"/>
        <v>Yes</v>
      </c>
      <c r="Q78">
        <f>IF(Booking_Data[[#This Row],[Discounted Booking]]="Yes",1,0)</f>
        <v>1</v>
      </c>
      <c r="R78" t="s">
        <v>24</v>
      </c>
      <c r="S78">
        <f>IF(Booking_Data[[#This Row],[Cancellation Status]]="yes",1,0)</f>
        <v>0</v>
      </c>
    </row>
    <row r="79" spans="1:19" x14ac:dyDescent="0.35">
      <c r="A79" t="s">
        <v>185</v>
      </c>
      <c r="B79" t="s">
        <v>186</v>
      </c>
      <c r="C79" s="1">
        <v>45310</v>
      </c>
      <c r="D79" s="1">
        <v>45333</v>
      </c>
      <c r="E79" s="1">
        <v>45338</v>
      </c>
      <c r="F79" s="2">
        <f t="shared" si="5"/>
        <v>3</v>
      </c>
      <c r="G79" s="2" t="str">
        <f t="shared" si="6"/>
        <v>Friday</v>
      </c>
      <c r="H79" s="2" t="str">
        <f t="shared" si="7"/>
        <v>January</v>
      </c>
      <c r="I79" t="s">
        <v>35</v>
      </c>
      <c r="J79" t="s">
        <v>31</v>
      </c>
      <c r="K79" t="s">
        <v>42</v>
      </c>
      <c r="L79" t="s">
        <v>23</v>
      </c>
      <c r="M79">
        <v>1072.8900000000001</v>
      </c>
      <c r="N79">
        <f t="shared" si="8"/>
        <v>5</v>
      </c>
      <c r="O79">
        <v>10</v>
      </c>
      <c r="P79" t="str">
        <f t="shared" si="9"/>
        <v>Yes</v>
      </c>
      <c r="Q79">
        <f>IF(Booking_Data[[#This Row],[Discounted Booking]]="Yes",1,0)</f>
        <v>1</v>
      </c>
      <c r="R79" t="s">
        <v>18</v>
      </c>
      <c r="S79">
        <f>IF(Booking_Data[[#This Row],[Cancellation Status]]="yes",1,0)</f>
        <v>1</v>
      </c>
    </row>
    <row r="80" spans="1:19" x14ac:dyDescent="0.35">
      <c r="A80" t="s">
        <v>187</v>
      </c>
      <c r="B80" t="s">
        <v>188</v>
      </c>
      <c r="C80" s="1">
        <v>45310</v>
      </c>
      <c r="D80" s="1">
        <v>45322</v>
      </c>
      <c r="E80" s="1">
        <v>45332</v>
      </c>
      <c r="F80" s="2">
        <f t="shared" si="5"/>
        <v>3</v>
      </c>
      <c r="G80" s="2" t="str">
        <f t="shared" si="6"/>
        <v>Friday</v>
      </c>
      <c r="H80" s="2" t="str">
        <f t="shared" si="7"/>
        <v>January</v>
      </c>
      <c r="I80" t="s">
        <v>35</v>
      </c>
      <c r="J80" t="s">
        <v>36</v>
      </c>
      <c r="K80" t="s">
        <v>49</v>
      </c>
      <c r="L80" t="s">
        <v>17</v>
      </c>
      <c r="M80">
        <v>470.93</v>
      </c>
      <c r="N80">
        <f t="shared" si="8"/>
        <v>10</v>
      </c>
      <c r="O80">
        <v>0</v>
      </c>
      <c r="P80" t="str">
        <f t="shared" si="9"/>
        <v>No</v>
      </c>
      <c r="Q80">
        <f>IF(Booking_Data[[#This Row],[Discounted Booking]]="Yes",1,0)</f>
        <v>0</v>
      </c>
      <c r="R80" t="s">
        <v>18</v>
      </c>
      <c r="S80">
        <f>IF(Booking_Data[[#This Row],[Cancellation Status]]="yes",1,0)</f>
        <v>1</v>
      </c>
    </row>
    <row r="81" spans="1:19" x14ac:dyDescent="0.35">
      <c r="A81" t="s">
        <v>189</v>
      </c>
      <c r="B81" t="s">
        <v>190</v>
      </c>
      <c r="C81" s="1">
        <v>45310</v>
      </c>
      <c r="D81" s="1">
        <v>45318</v>
      </c>
      <c r="E81" s="1">
        <v>45324</v>
      </c>
      <c r="F81" s="2">
        <f t="shared" si="5"/>
        <v>3</v>
      </c>
      <c r="G81" s="2" t="str">
        <f t="shared" si="6"/>
        <v>Friday</v>
      </c>
      <c r="H81" s="2" t="str">
        <f t="shared" si="7"/>
        <v>January</v>
      </c>
      <c r="I81" t="s">
        <v>35</v>
      </c>
      <c r="J81" t="s">
        <v>36</v>
      </c>
      <c r="K81" t="s">
        <v>42</v>
      </c>
      <c r="L81" t="s">
        <v>17</v>
      </c>
      <c r="M81">
        <v>1030.6199999999999</v>
      </c>
      <c r="N81">
        <f t="shared" si="8"/>
        <v>6</v>
      </c>
      <c r="O81">
        <v>15</v>
      </c>
      <c r="P81" t="str">
        <f t="shared" si="9"/>
        <v>Yes</v>
      </c>
      <c r="Q81">
        <f>IF(Booking_Data[[#This Row],[Discounted Booking]]="Yes",1,0)</f>
        <v>1</v>
      </c>
      <c r="R81" t="s">
        <v>18</v>
      </c>
      <c r="S81">
        <f>IF(Booking_Data[[#This Row],[Cancellation Status]]="yes",1,0)</f>
        <v>1</v>
      </c>
    </row>
    <row r="82" spans="1:19" x14ac:dyDescent="0.35">
      <c r="A82" t="s">
        <v>191</v>
      </c>
      <c r="B82" t="s">
        <v>192</v>
      </c>
      <c r="C82" s="1">
        <v>45310</v>
      </c>
      <c r="D82" s="1">
        <v>45320</v>
      </c>
      <c r="E82" s="1">
        <v>45328</v>
      </c>
      <c r="F82" s="2">
        <f t="shared" si="5"/>
        <v>3</v>
      </c>
      <c r="G82" s="2" t="str">
        <f t="shared" si="6"/>
        <v>Friday</v>
      </c>
      <c r="H82" s="2" t="str">
        <f t="shared" si="7"/>
        <v>January</v>
      </c>
      <c r="I82" t="s">
        <v>35</v>
      </c>
      <c r="J82" t="s">
        <v>31</v>
      </c>
      <c r="K82" t="s">
        <v>42</v>
      </c>
      <c r="L82" t="s">
        <v>27</v>
      </c>
      <c r="M82">
        <v>412</v>
      </c>
      <c r="N82">
        <f t="shared" si="8"/>
        <v>8</v>
      </c>
      <c r="O82">
        <v>5</v>
      </c>
      <c r="P82" t="str">
        <f t="shared" si="9"/>
        <v>Yes</v>
      </c>
      <c r="Q82">
        <f>IF(Booking_Data[[#This Row],[Discounted Booking]]="Yes",1,0)</f>
        <v>1</v>
      </c>
      <c r="R82" t="s">
        <v>24</v>
      </c>
      <c r="S82">
        <f>IF(Booking_Data[[#This Row],[Cancellation Status]]="yes",1,0)</f>
        <v>0</v>
      </c>
    </row>
    <row r="83" spans="1:19" x14ac:dyDescent="0.35">
      <c r="A83" t="s">
        <v>193</v>
      </c>
      <c r="B83" t="s">
        <v>194</v>
      </c>
      <c r="C83" s="1">
        <v>45311</v>
      </c>
      <c r="D83" s="1">
        <v>45336</v>
      </c>
      <c r="E83" s="1">
        <v>45337</v>
      </c>
      <c r="F83" s="2">
        <f t="shared" si="5"/>
        <v>3</v>
      </c>
      <c r="G83" s="2" t="str">
        <f t="shared" si="6"/>
        <v>Saturday</v>
      </c>
      <c r="H83" s="2" t="str">
        <f t="shared" si="7"/>
        <v>January</v>
      </c>
      <c r="I83" t="s">
        <v>30</v>
      </c>
      <c r="J83" t="s">
        <v>36</v>
      </c>
      <c r="K83" t="s">
        <v>32</v>
      </c>
      <c r="L83" t="s">
        <v>37</v>
      </c>
      <c r="M83">
        <v>1449.36</v>
      </c>
      <c r="N83">
        <f t="shared" si="8"/>
        <v>1</v>
      </c>
      <c r="O83">
        <v>15</v>
      </c>
      <c r="P83" t="str">
        <f t="shared" si="9"/>
        <v>Yes</v>
      </c>
      <c r="Q83">
        <f>IF(Booking_Data[[#This Row],[Discounted Booking]]="Yes",1,0)</f>
        <v>1</v>
      </c>
      <c r="R83" t="s">
        <v>18</v>
      </c>
      <c r="S83">
        <f>IF(Booking_Data[[#This Row],[Cancellation Status]]="yes",1,0)</f>
        <v>1</v>
      </c>
    </row>
    <row r="84" spans="1:19" x14ac:dyDescent="0.35">
      <c r="A84" t="s">
        <v>195</v>
      </c>
      <c r="B84" t="s">
        <v>196</v>
      </c>
      <c r="C84" s="1">
        <v>45311</v>
      </c>
      <c r="D84" s="1">
        <v>45313</v>
      </c>
      <c r="E84" s="1">
        <v>45318</v>
      </c>
      <c r="F84" s="2">
        <f t="shared" si="5"/>
        <v>3</v>
      </c>
      <c r="G84" s="2" t="str">
        <f t="shared" si="6"/>
        <v>Saturday</v>
      </c>
      <c r="H84" s="2" t="str">
        <f t="shared" si="7"/>
        <v>January</v>
      </c>
      <c r="I84" t="s">
        <v>14</v>
      </c>
      <c r="J84" t="s">
        <v>31</v>
      </c>
      <c r="K84" t="s">
        <v>16</v>
      </c>
      <c r="L84" t="s">
        <v>27</v>
      </c>
      <c r="M84">
        <v>570.36</v>
      </c>
      <c r="N84">
        <f t="shared" si="8"/>
        <v>5</v>
      </c>
      <c r="O84">
        <v>15</v>
      </c>
      <c r="P84" t="str">
        <f t="shared" si="9"/>
        <v>Yes</v>
      </c>
      <c r="Q84">
        <f>IF(Booking_Data[[#This Row],[Discounted Booking]]="Yes",1,0)</f>
        <v>1</v>
      </c>
      <c r="R84" t="s">
        <v>24</v>
      </c>
      <c r="S84">
        <f>IF(Booking_Data[[#This Row],[Cancellation Status]]="yes",1,0)</f>
        <v>0</v>
      </c>
    </row>
    <row r="85" spans="1:19" x14ac:dyDescent="0.35">
      <c r="A85" t="s">
        <v>197</v>
      </c>
      <c r="B85" t="s">
        <v>198</v>
      </c>
      <c r="C85" s="1">
        <v>45311</v>
      </c>
      <c r="D85" s="1">
        <v>45325</v>
      </c>
      <c r="E85" s="1">
        <v>45332</v>
      </c>
      <c r="F85" s="2">
        <f t="shared" si="5"/>
        <v>3</v>
      </c>
      <c r="G85" s="2" t="str">
        <f t="shared" si="6"/>
        <v>Saturday</v>
      </c>
      <c r="H85" s="2" t="str">
        <f t="shared" si="7"/>
        <v>January</v>
      </c>
      <c r="I85" t="s">
        <v>35</v>
      </c>
      <c r="J85" t="s">
        <v>36</v>
      </c>
      <c r="K85" t="s">
        <v>32</v>
      </c>
      <c r="L85" t="s">
        <v>37</v>
      </c>
      <c r="M85">
        <v>321.58</v>
      </c>
      <c r="N85">
        <f t="shared" si="8"/>
        <v>7</v>
      </c>
      <c r="O85">
        <v>10</v>
      </c>
      <c r="P85" t="str">
        <f t="shared" si="9"/>
        <v>Yes</v>
      </c>
      <c r="Q85">
        <f>IF(Booking_Data[[#This Row],[Discounted Booking]]="Yes",1,0)</f>
        <v>1</v>
      </c>
      <c r="R85" t="s">
        <v>18</v>
      </c>
      <c r="S85">
        <f>IF(Booking_Data[[#This Row],[Cancellation Status]]="yes",1,0)</f>
        <v>1</v>
      </c>
    </row>
    <row r="86" spans="1:19" x14ac:dyDescent="0.35">
      <c r="A86" t="s">
        <v>199</v>
      </c>
      <c r="B86" t="s">
        <v>200</v>
      </c>
      <c r="C86" s="1">
        <v>45312</v>
      </c>
      <c r="D86" s="1">
        <v>45327</v>
      </c>
      <c r="E86" s="1">
        <v>45333</v>
      </c>
      <c r="F86" s="2">
        <f t="shared" si="5"/>
        <v>4</v>
      </c>
      <c r="G86" s="2" t="str">
        <f t="shared" si="6"/>
        <v>Sunday</v>
      </c>
      <c r="H86" s="2" t="str">
        <f t="shared" si="7"/>
        <v>January</v>
      </c>
      <c r="I86" t="s">
        <v>14</v>
      </c>
      <c r="J86" t="s">
        <v>36</v>
      </c>
      <c r="K86" t="s">
        <v>32</v>
      </c>
      <c r="L86" t="s">
        <v>27</v>
      </c>
      <c r="M86">
        <v>273.16000000000003</v>
      </c>
      <c r="N86">
        <f t="shared" si="8"/>
        <v>6</v>
      </c>
      <c r="O86">
        <v>20</v>
      </c>
      <c r="P86" t="str">
        <f t="shared" si="9"/>
        <v>Yes</v>
      </c>
      <c r="Q86">
        <f>IF(Booking_Data[[#This Row],[Discounted Booking]]="Yes",1,0)</f>
        <v>1</v>
      </c>
      <c r="R86" t="s">
        <v>24</v>
      </c>
      <c r="S86">
        <f>IF(Booking_Data[[#This Row],[Cancellation Status]]="yes",1,0)</f>
        <v>0</v>
      </c>
    </row>
    <row r="87" spans="1:19" x14ac:dyDescent="0.35">
      <c r="A87" t="s">
        <v>201</v>
      </c>
      <c r="B87" t="s">
        <v>202</v>
      </c>
      <c r="C87" s="1">
        <v>45312</v>
      </c>
      <c r="D87" s="1">
        <v>45322</v>
      </c>
      <c r="E87" s="1">
        <v>45330</v>
      </c>
      <c r="F87" s="2">
        <f t="shared" si="5"/>
        <v>4</v>
      </c>
      <c r="G87" s="2" t="str">
        <f t="shared" si="6"/>
        <v>Sunday</v>
      </c>
      <c r="H87" s="2" t="str">
        <f t="shared" si="7"/>
        <v>January</v>
      </c>
      <c r="I87" t="s">
        <v>30</v>
      </c>
      <c r="J87" t="s">
        <v>21</v>
      </c>
      <c r="K87" t="s">
        <v>49</v>
      </c>
      <c r="L87" t="s">
        <v>37</v>
      </c>
      <c r="M87">
        <v>483.35</v>
      </c>
      <c r="N87">
        <f t="shared" si="8"/>
        <v>8</v>
      </c>
      <c r="O87">
        <v>5</v>
      </c>
      <c r="P87" t="str">
        <f t="shared" si="9"/>
        <v>Yes</v>
      </c>
      <c r="Q87">
        <f>IF(Booking_Data[[#This Row],[Discounted Booking]]="Yes",1,0)</f>
        <v>1</v>
      </c>
      <c r="R87" t="s">
        <v>18</v>
      </c>
      <c r="S87">
        <f>IF(Booking_Data[[#This Row],[Cancellation Status]]="yes",1,0)</f>
        <v>1</v>
      </c>
    </row>
    <row r="88" spans="1:19" x14ac:dyDescent="0.35">
      <c r="A88" t="s">
        <v>203</v>
      </c>
      <c r="B88" t="s">
        <v>204</v>
      </c>
      <c r="C88" s="1">
        <v>45312</v>
      </c>
      <c r="D88" s="1">
        <v>45335</v>
      </c>
      <c r="E88" s="1">
        <v>45343</v>
      </c>
      <c r="F88" s="2">
        <f t="shared" si="5"/>
        <v>4</v>
      </c>
      <c r="G88" s="2" t="str">
        <f t="shared" si="6"/>
        <v>Sunday</v>
      </c>
      <c r="H88" s="2" t="str">
        <f t="shared" si="7"/>
        <v>January</v>
      </c>
      <c r="I88" t="s">
        <v>14</v>
      </c>
      <c r="J88" t="s">
        <v>36</v>
      </c>
      <c r="K88" t="s">
        <v>16</v>
      </c>
      <c r="L88" t="s">
        <v>27</v>
      </c>
      <c r="M88">
        <v>816.08</v>
      </c>
      <c r="N88">
        <f t="shared" si="8"/>
        <v>8</v>
      </c>
      <c r="O88">
        <v>25</v>
      </c>
      <c r="P88" t="str">
        <f t="shared" si="9"/>
        <v>Yes</v>
      </c>
      <c r="Q88">
        <f>IF(Booking_Data[[#This Row],[Discounted Booking]]="Yes",1,0)</f>
        <v>1</v>
      </c>
      <c r="R88" t="s">
        <v>24</v>
      </c>
      <c r="S88">
        <f>IF(Booking_Data[[#This Row],[Cancellation Status]]="yes",1,0)</f>
        <v>0</v>
      </c>
    </row>
    <row r="89" spans="1:19" x14ac:dyDescent="0.35">
      <c r="A89" t="s">
        <v>205</v>
      </c>
      <c r="B89" t="s">
        <v>206</v>
      </c>
      <c r="C89" s="1">
        <v>45312</v>
      </c>
      <c r="D89" s="1">
        <v>45314</v>
      </c>
      <c r="E89" s="1">
        <v>45323</v>
      </c>
      <c r="F89" s="2">
        <f t="shared" si="5"/>
        <v>4</v>
      </c>
      <c r="G89" s="2" t="str">
        <f t="shared" si="6"/>
        <v>Sunday</v>
      </c>
      <c r="H89" s="2" t="str">
        <f t="shared" si="7"/>
        <v>January</v>
      </c>
      <c r="I89" t="s">
        <v>35</v>
      </c>
      <c r="J89" t="s">
        <v>15</v>
      </c>
      <c r="K89" t="s">
        <v>49</v>
      </c>
      <c r="L89" t="s">
        <v>23</v>
      </c>
      <c r="M89">
        <v>568.04</v>
      </c>
      <c r="N89">
        <f t="shared" si="8"/>
        <v>9</v>
      </c>
      <c r="O89">
        <v>20</v>
      </c>
      <c r="P89" t="str">
        <f t="shared" si="9"/>
        <v>Yes</v>
      </c>
      <c r="Q89">
        <f>IF(Booking_Data[[#This Row],[Discounted Booking]]="Yes",1,0)</f>
        <v>1</v>
      </c>
      <c r="R89" t="s">
        <v>24</v>
      </c>
      <c r="S89">
        <f>IF(Booking_Data[[#This Row],[Cancellation Status]]="yes",1,0)</f>
        <v>0</v>
      </c>
    </row>
    <row r="90" spans="1:19" x14ac:dyDescent="0.35">
      <c r="A90" t="s">
        <v>207</v>
      </c>
      <c r="B90" t="s">
        <v>208</v>
      </c>
      <c r="C90" s="1">
        <v>45312</v>
      </c>
      <c r="D90" s="1">
        <v>45321</v>
      </c>
      <c r="E90" s="1">
        <v>45328</v>
      </c>
      <c r="F90" s="2">
        <f t="shared" si="5"/>
        <v>4</v>
      </c>
      <c r="G90" s="2" t="str">
        <f t="shared" si="6"/>
        <v>Sunday</v>
      </c>
      <c r="H90" s="2" t="str">
        <f t="shared" si="7"/>
        <v>January</v>
      </c>
      <c r="I90" t="s">
        <v>35</v>
      </c>
      <c r="J90" t="s">
        <v>36</v>
      </c>
      <c r="K90" t="s">
        <v>49</v>
      </c>
      <c r="L90" t="s">
        <v>37</v>
      </c>
      <c r="M90">
        <v>177.8</v>
      </c>
      <c r="N90">
        <f t="shared" si="8"/>
        <v>7</v>
      </c>
      <c r="O90">
        <v>25</v>
      </c>
      <c r="P90" t="str">
        <f t="shared" si="9"/>
        <v>Yes</v>
      </c>
      <c r="Q90">
        <f>IF(Booking_Data[[#This Row],[Discounted Booking]]="Yes",1,0)</f>
        <v>1</v>
      </c>
      <c r="R90" t="s">
        <v>18</v>
      </c>
      <c r="S90">
        <f>IF(Booking_Data[[#This Row],[Cancellation Status]]="yes",1,0)</f>
        <v>1</v>
      </c>
    </row>
    <row r="91" spans="1:19" x14ac:dyDescent="0.35">
      <c r="A91" t="s">
        <v>209</v>
      </c>
      <c r="B91" t="s">
        <v>210</v>
      </c>
      <c r="C91" s="1">
        <v>45312</v>
      </c>
      <c r="D91" s="1">
        <v>45319</v>
      </c>
      <c r="E91" s="1">
        <v>45328</v>
      </c>
      <c r="F91" s="2">
        <f t="shared" si="5"/>
        <v>4</v>
      </c>
      <c r="G91" s="2" t="str">
        <f t="shared" si="6"/>
        <v>Sunday</v>
      </c>
      <c r="H91" s="2" t="str">
        <f t="shared" si="7"/>
        <v>January</v>
      </c>
      <c r="I91" t="s">
        <v>35</v>
      </c>
      <c r="J91" t="s">
        <v>15</v>
      </c>
      <c r="K91" t="s">
        <v>32</v>
      </c>
      <c r="L91" t="s">
        <v>37</v>
      </c>
      <c r="M91">
        <v>1028.3800000000001</v>
      </c>
      <c r="N91">
        <f t="shared" si="8"/>
        <v>9</v>
      </c>
      <c r="O91">
        <v>5</v>
      </c>
      <c r="P91" t="str">
        <f t="shared" si="9"/>
        <v>Yes</v>
      </c>
      <c r="Q91">
        <f>IF(Booking_Data[[#This Row],[Discounted Booking]]="Yes",1,0)</f>
        <v>1</v>
      </c>
      <c r="R91" t="s">
        <v>24</v>
      </c>
      <c r="S91">
        <f>IF(Booking_Data[[#This Row],[Cancellation Status]]="yes",1,0)</f>
        <v>0</v>
      </c>
    </row>
    <row r="92" spans="1:19" x14ac:dyDescent="0.35">
      <c r="A92" t="s">
        <v>211</v>
      </c>
      <c r="B92" t="s">
        <v>212</v>
      </c>
      <c r="C92" s="1">
        <v>45312</v>
      </c>
      <c r="D92" s="1">
        <v>45320</v>
      </c>
      <c r="E92" s="1">
        <v>45325</v>
      </c>
      <c r="F92" s="2">
        <f t="shared" si="5"/>
        <v>4</v>
      </c>
      <c r="G92" s="2" t="str">
        <f t="shared" si="6"/>
        <v>Sunday</v>
      </c>
      <c r="H92" s="2" t="str">
        <f t="shared" si="7"/>
        <v>January</v>
      </c>
      <c r="I92" t="s">
        <v>30</v>
      </c>
      <c r="J92" t="s">
        <v>36</v>
      </c>
      <c r="K92" t="s">
        <v>49</v>
      </c>
      <c r="L92" t="s">
        <v>17</v>
      </c>
      <c r="M92">
        <v>1300.1300000000001</v>
      </c>
      <c r="N92">
        <f t="shared" si="8"/>
        <v>5</v>
      </c>
      <c r="O92">
        <v>25</v>
      </c>
      <c r="P92" t="str">
        <f t="shared" si="9"/>
        <v>Yes</v>
      </c>
      <c r="Q92">
        <f>IF(Booking_Data[[#This Row],[Discounted Booking]]="Yes",1,0)</f>
        <v>1</v>
      </c>
      <c r="R92" t="s">
        <v>24</v>
      </c>
      <c r="S92">
        <f>IF(Booking_Data[[#This Row],[Cancellation Status]]="yes",1,0)</f>
        <v>0</v>
      </c>
    </row>
    <row r="93" spans="1:19" x14ac:dyDescent="0.35">
      <c r="A93" t="s">
        <v>213</v>
      </c>
      <c r="B93" t="s">
        <v>214</v>
      </c>
      <c r="C93" s="1">
        <v>45313</v>
      </c>
      <c r="D93" s="1">
        <v>45332</v>
      </c>
      <c r="E93" s="1">
        <v>45339</v>
      </c>
      <c r="F93" s="2">
        <f t="shared" si="5"/>
        <v>4</v>
      </c>
      <c r="G93" s="2" t="str">
        <f t="shared" si="6"/>
        <v>Monday</v>
      </c>
      <c r="H93" s="2" t="str">
        <f t="shared" si="7"/>
        <v>January</v>
      </c>
      <c r="I93" t="s">
        <v>30</v>
      </c>
      <c r="J93" t="s">
        <v>36</v>
      </c>
      <c r="K93" t="s">
        <v>32</v>
      </c>
      <c r="L93" t="s">
        <v>37</v>
      </c>
      <c r="M93">
        <v>1474.49</v>
      </c>
      <c r="N93">
        <f t="shared" si="8"/>
        <v>7</v>
      </c>
      <c r="O93">
        <v>20</v>
      </c>
      <c r="P93" t="str">
        <f t="shared" si="9"/>
        <v>Yes</v>
      </c>
      <c r="Q93">
        <f>IF(Booking_Data[[#This Row],[Discounted Booking]]="Yes",1,0)</f>
        <v>1</v>
      </c>
      <c r="R93" t="s">
        <v>18</v>
      </c>
      <c r="S93">
        <f>IF(Booking_Data[[#This Row],[Cancellation Status]]="yes",1,0)</f>
        <v>1</v>
      </c>
    </row>
    <row r="94" spans="1:19" x14ac:dyDescent="0.35">
      <c r="A94" t="s">
        <v>215</v>
      </c>
      <c r="B94" t="s">
        <v>216</v>
      </c>
      <c r="C94" s="1">
        <v>45313</v>
      </c>
      <c r="D94" s="1">
        <v>45340</v>
      </c>
      <c r="E94" s="1">
        <v>45347</v>
      </c>
      <c r="F94" s="2">
        <f t="shared" si="5"/>
        <v>4</v>
      </c>
      <c r="G94" s="2" t="str">
        <f t="shared" si="6"/>
        <v>Monday</v>
      </c>
      <c r="H94" s="2" t="str">
        <f t="shared" si="7"/>
        <v>January</v>
      </c>
      <c r="I94" t="s">
        <v>35</v>
      </c>
      <c r="J94" t="s">
        <v>21</v>
      </c>
      <c r="K94" t="s">
        <v>49</v>
      </c>
      <c r="L94" t="s">
        <v>27</v>
      </c>
      <c r="M94">
        <v>1300.5999999999999</v>
      </c>
      <c r="N94">
        <f t="shared" si="8"/>
        <v>7</v>
      </c>
      <c r="O94">
        <v>5</v>
      </c>
      <c r="P94" t="str">
        <f t="shared" si="9"/>
        <v>Yes</v>
      </c>
      <c r="Q94">
        <f>IF(Booking_Data[[#This Row],[Discounted Booking]]="Yes",1,0)</f>
        <v>1</v>
      </c>
      <c r="R94" t="s">
        <v>18</v>
      </c>
      <c r="S94">
        <f>IF(Booking_Data[[#This Row],[Cancellation Status]]="yes",1,0)</f>
        <v>1</v>
      </c>
    </row>
    <row r="95" spans="1:19" x14ac:dyDescent="0.35">
      <c r="A95" t="s">
        <v>217</v>
      </c>
      <c r="B95" t="s">
        <v>218</v>
      </c>
      <c r="C95" s="1">
        <v>45313</v>
      </c>
      <c r="D95" s="1">
        <v>45332</v>
      </c>
      <c r="E95" s="1">
        <v>45337</v>
      </c>
      <c r="F95" s="2">
        <f t="shared" si="5"/>
        <v>4</v>
      </c>
      <c r="G95" s="2" t="str">
        <f t="shared" si="6"/>
        <v>Monday</v>
      </c>
      <c r="H95" s="2" t="str">
        <f t="shared" si="7"/>
        <v>January</v>
      </c>
      <c r="I95" t="s">
        <v>30</v>
      </c>
      <c r="J95" t="s">
        <v>31</v>
      </c>
      <c r="K95" t="s">
        <v>58</v>
      </c>
      <c r="L95" t="s">
        <v>17</v>
      </c>
      <c r="M95">
        <v>151.03</v>
      </c>
      <c r="N95">
        <f t="shared" si="8"/>
        <v>5</v>
      </c>
      <c r="O95">
        <v>20</v>
      </c>
      <c r="P95" t="str">
        <f t="shared" si="9"/>
        <v>Yes</v>
      </c>
      <c r="Q95">
        <f>IF(Booking_Data[[#This Row],[Discounted Booking]]="Yes",1,0)</f>
        <v>1</v>
      </c>
      <c r="R95" t="s">
        <v>24</v>
      </c>
      <c r="S95">
        <f>IF(Booking_Data[[#This Row],[Cancellation Status]]="yes",1,0)</f>
        <v>0</v>
      </c>
    </row>
    <row r="96" spans="1:19" x14ac:dyDescent="0.35">
      <c r="A96" t="s">
        <v>219</v>
      </c>
      <c r="B96" t="s">
        <v>220</v>
      </c>
      <c r="C96" s="1">
        <v>45313</v>
      </c>
      <c r="D96" s="1">
        <v>45327</v>
      </c>
      <c r="E96" s="1">
        <v>45331</v>
      </c>
      <c r="F96" s="2">
        <f t="shared" si="5"/>
        <v>4</v>
      </c>
      <c r="G96" s="2" t="str">
        <f t="shared" si="6"/>
        <v>Monday</v>
      </c>
      <c r="H96" s="2" t="str">
        <f t="shared" si="7"/>
        <v>January</v>
      </c>
      <c r="I96" t="s">
        <v>30</v>
      </c>
      <c r="J96" t="s">
        <v>21</v>
      </c>
      <c r="K96" t="s">
        <v>42</v>
      </c>
      <c r="L96" t="s">
        <v>27</v>
      </c>
      <c r="M96">
        <v>1185.53</v>
      </c>
      <c r="N96">
        <f t="shared" si="8"/>
        <v>4</v>
      </c>
      <c r="O96">
        <v>25</v>
      </c>
      <c r="P96" t="str">
        <f t="shared" si="9"/>
        <v>Yes</v>
      </c>
      <c r="Q96">
        <f>IF(Booking_Data[[#This Row],[Discounted Booking]]="Yes",1,0)</f>
        <v>1</v>
      </c>
      <c r="R96" t="s">
        <v>24</v>
      </c>
      <c r="S96">
        <f>IF(Booking_Data[[#This Row],[Cancellation Status]]="yes",1,0)</f>
        <v>0</v>
      </c>
    </row>
    <row r="97" spans="1:19" x14ac:dyDescent="0.35">
      <c r="A97" t="s">
        <v>221</v>
      </c>
      <c r="B97" t="s">
        <v>222</v>
      </c>
      <c r="C97" s="1">
        <v>45313</v>
      </c>
      <c r="D97" s="1">
        <v>45335</v>
      </c>
      <c r="E97" s="1">
        <v>45336</v>
      </c>
      <c r="F97" s="2">
        <f t="shared" si="5"/>
        <v>4</v>
      </c>
      <c r="G97" s="2" t="str">
        <f t="shared" si="6"/>
        <v>Monday</v>
      </c>
      <c r="H97" s="2" t="str">
        <f t="shared" si="7"/>
        <v>January</v>
      </c>
      <c r="I97" t="s">
        <v>30</v>
      </c>
      <c r="J97" t="s">
        <v>31</v>
      </c>
      <c r="K97" t="s">
        <v>22</v>
      </c>
      <c r="L97" t="s">
        <v>23</v>
      </c>
      <c r="M97">
        <v>645.6</v>
      </c>
      <c r="N97">
        <f t="shared" si="8"/>
        <v>1</v>
      </c>
      <c r="O97">
        <v>0</v>
      </c>
      <c r="P97" t="str">
        <f t="shared" si="9"/>
        <v>No</v>
      </c>
      <c r="Q97">
        <f>IF(Booking_Data[[#This Row],[Discounted Booking]]="Yes",1,0)</f>
        <v>0</v>
      </c>
      <c r="R97" t="s">
        <v>24</v>
      </c>
      <c r="S97">
        <f>IF(Booking_Data[[#This Row],[Cancellation Status]]="yes",1,0)</f>
        <v>0</v>
      </c>
    </row>
    <row r="98" spans="1:19" x14ac:dyDescent="0.35">
      <c r="A98" t="s">
        <v>223</v>
      </c>
      <c r="B98" t="s">
        <v>224</v>
      </c>
      <c r="C98" s="1">
        <v>45313</v>
      </c>
      <c r="D98" s="1">
        <v>45333</v>
      </c>
      <c r="E98" s="1">
        <v>45336</v>
      </c>
      <c r="F98" s="2">
        <f t="shared" si="5"/>
        <v>4</v>
      </c>
      <c r="G98" s="2" t="str">
        <f t="shared" si="6"/>
        <v>Monday</v>
      </c>
      <c r="H98" s="2" t="str">
        <f t="shared" si="7"/>
        <v>January</v>
      </c>
      <c r="I98" t="s">
        <v>30</v>
      </c>
      <c r="J98" t="s">
        <v>31</v>
      </c>
      <c r="K98" t="s">
        <v>22</v>
      </c>
      <c r="L98" t="s">
        <v>23</v>
      </c>
      <c r="M98">
        <v>1133.9000000000001</v>
      </c>
      <c r="N98">
        <f t="shared" si="8"/>
        <v>3</v>
      </c>
      <c r="O98">
        <v>25</v>
      </c>
      <c r="P98" t="str">
        <f t="shared" si="9"/>
        <v>Yes</v>
      </c>
      <c r="Q98">
        <f>IF(Booking_Data[[#This Row],[Discounted Booking]]="Yes",1,0)</f>
        <v>1</v>
      </c>
      <c r="R98" t="s">
        <v>24</v>
      </c>
      <c r="S98">
        <f>IF(Booking_Data[[#This Row],[Cancellation Status]]="yes",1,0)</f>
        <v>0</v>
      </c>
    </row>
    <row r="99" spans="1:19" x14ac:dyDescent="0.35">
      <c r="A99" t="s">
        <v>225</v>
      </c>
      <c r="B99" t="s">
        <v>226</v>
      </c>
      <c r="C99" s="1">
        <v>45314</v>
      </c>
      <c r="D99" s="1">
        <v>45333</v>
      </c>
      <c r="E99" s="1">
        <v>45335</v>
      </c>
      <c r="F99" s="2">
        <f t="shared" si="5"/>
        <v>4</v>
      </c>
      <c r="G99" s="2" t="str">
        <f t="shared" si="6"/>
        <v>Tuesday</v>
      </c>
      <c r="H99" s="2" t="str">
        <f t="shared" si="7"/>
        <v>January</v>
      </c>
      <c r="I99" t="s">
        <v>35</v>
      </c>
      <c r="J99" t="s">
        <v>31</v>
      </c>
      <c r="K99" t="s">
        <v>58</v>
      </c>
      <c r="L99" t="s">
        <v>23</v>
      </c>
      <c r="M99">
        <v>516.04999999999995</v>
      </c>
      <c r="N99">
        <f t="shared" si="8"/>
        <v>2</v>
      </c>
      <c r="O99">
        <v>10</v>
      </c>
      <c r="P99" t="str">
        <f t="shared" si="9"/>
        <v>Yes</v>
      </c>
      <c r="Q99">
        <f>IF(Booking_Data[[#This Row],[Discounted Booking]]="Yes",1,0)</f>
        <v>1</v>
      </c>
      <c r="R99" t="s">
        <v>24</v>
      </c>
      <c r="S99">
        <f>IF(Booking_Data[[#This Row],[Cancellation Status]]="yes",1,0)</f>
        <v>0</v>
      </c>
    </row>
    <row r="100" spans="1:19" x14ac:dyDescent="0.35">
      <c r="A100" t="s">
        <v>227</v>
      </c>
      <c r="B100" t="s">
        <v>228</v>
      </c>
      <c r="C100" s="1">
        <v>45314</v>
      </c>
      <c r="D100" s="1">
        <v>45323</v>
      </c>
      <c r="E100" s="1">
        <v>45331</v>
      </c>
      <c r="F100" s="2">
        <f t="shared" si="5"/>
        <v>4</v>
      </c>
      <c r="G100" s="2" t="str">
        <f t="shared" si="6"/>
        <v>Tuesday</v>
      </c>
      <c r="H100" s="2" t="str">
        <f t="shared" si="7"/>
        <v>January</v>
      </c>
      <c r="I100" t="s">
        <v>35</v>
      </c>
      <c r="J100" t="s">
        <v>21</v>
      </c>
      <c r="K100" t="s">
        <v>16</v>
      </c>
      <c r="L100" t="s">
        <v>17</v>
      </c>
      <c r="M100">
        <v>1382.96</v>
      </c>
      <c r="N100">
        <f t="shared" si="8"/>
        <v>8</v>
      </c>
      <c r="O100">
        <v>25</v>
      </c>
      <c r="P100" t="str">
        <f t="shared" si="9"/>
        <v>Yes</v>
      </c>
      <c r="Q100">
        <f>IF(Booking_Data[[#This Row],[Discounted Booking]]="Yes",1,0)</f>
        <v>1</v>
      </c>
      <c r="R100" t="s">
        <v>24</v>
      </c>
      <c r="S100">
        <f>IF(Booking_Data[[#This Row],[Cancellation Status]]="yes",1,0)</f>
        <v>0</v>
      </c>
    </row>
    <row r="101" spans="1:19" x14ac:dyDescent="0.35">
      <c r="A101" t="s">
        <v>229</v>
      </c>
      <c r="B101" t="s">
        <v>230</v>
      </c>
      <c r="C101" s="1">
        <v>45315</v>
      </c>
      <c r="D101" s="1">
        <v>45339</v>
      </c>
      <c r="E101" s="1">
        <v>45348</v>
      </c>
      <c r="F101" s="2">
        <f t="shared" si="5"/>
        <v>4</v>
      </c>
      <c r="G101" s="2" t="str">
        <f t="shared" si="6"/>
        <v>Wednesday</v>
      </c>
      <c r="H101" s="2" t="str">
        <f t="shared" si="7"/>
        <v>January</v>
      </c>
      <c r="I101" t="s">
        <v>30</v>
      </c>
      <c r="J101" t="s">
        <v>31</v>
      </c>
      <c r="K101" t="s">
        <v>49</v>
      </c>
      <c r="L101" t="s">
        <v>23</v>
      </c>
      <c r="M101">
        <v>515.4</v>
      </c>
      <c r="N101">
        <f t="shared" si="8"/>
        <v>9</v>
      </c>
      <c r="O101">
        <v>15</v>
      </c>
      <c r="P101" t="str">
        <f t="shared" si="9"/>
        <v>Yes</v>
      </c>
      <c r="Q101">
        <f>IF(Booking_Data[[#This Row],[Discounted Booking]]="Yes",1,0)</f>
        <v>1</v>
      </c>
      <c r="R101" t="s">
        <v>24</v>
      </c>
      <c r="S101">
        <f>IF(Booking_Data[[#This Row],[Cancellation Status]]="yes",1,0)</f>
        <v>0</v>
      </c>
    </row>
    <row r="102" spans="1:19" x14ac:dyDescent="0.35">
      <c r="A102" t="s">
        <v>231</v>
      </c>
      <c r="B102" t="s">
        <v>232</v>
      </c>
      <c r="C102" s="1">
        <v>45315</v>
      </c>
      <c r="D102" s="1">
        <v>45337</v>
      </c>
      <c r="E102" s="1">
        <v>45339</v>
      </c>
      <c r="F102" s="2">
        <f t="shared" si="5"/>
        <v>4</v>
      </c>
      <c r="G102" s="2" t="str">
        <f t="shared" si="6"/>
        <v>Wednesday</v>
      </c>
      <c r="H102" s="2" t="str">
        <f t="shared" si="7"/>
        <v>January</v>
      </c>
      <c r="I102" t="s">
        <v>35</v>
      </c>
      <c r="J102" t="s">
        <v>21</v>
      </c>
      <c r="K102" t="s">
        <v>22</v>
      </c>
      <c r="L102" t="s">
        <v>27</v>
      </c>
      <c r="M102">
        <v>1085.48</v>
      </c>
      <c r="N102">
        <f t="shared" si="8"/>
        <v>2</v>
      </c>
      <c r="O102">
        <v>0</v>
      </c>
      <c r="P102" t="str">
        <f t="shared" si="9"/>
        <v>No</v>
      </c>
      <c r="Q102">
        <f>IF(Booking_Data[[#This Row],[Discounted Booking]]="Yes",1,0)</f>
        <v>0</v>
      </c>
      <c r="R102" t="s">
        <v>24</v>
      </c>
      <c r="S102">
        <f>IF(Booking_Data[[#This Row],[Cancellation Status]]="yes",1,0)</f>
        <v>0</v>
      </c>
    </row>
    <row r="103" spans="1:19" x14ac:dyDescent="0.35">
      <c r="A103" t="s">
        <v>233</v>
      </c>
      <c r="B103" t="s">
        <v>234</v>
      </c>
      <c r="C103" s="1">
        <v>45315</v>
      </c>
      <c r="D103" s="1">
        <v>45344</v>
      </c>
      <c r="E103" s="1">
        <v>45350</v>
      </c>
      <c r="F103" s="2">
        <f t="shared" si="5"/>
        <v>4</v>
      </c>
      <c r="G103" s="2" t="str">
        <f t="shared" si="6"/>
        <v>Wednesday</v>
      </c>
      <c r="H103" s="2" t="str">
        <f t="shared" si="7"/>
        <v>January</v>
      </c>
      <c r="I103" t="s">
        <v>30</v>
      </c>
      <c r="J103" t="s">
        <v>36</v>
      </c>
      <c r="K103" t="s">
        <v>22</v>
      </c>
      <c r="L103" t="s">
        <v>23</v>
      </c>
      <c r="M103">
        <v>807.57</v>
      </c>
      <c r="N103">
        <f t="shared" si="8"/>
        <v>6</v>
      </c>
      <c r="O103">
        <v>5</v>
      </c>
      <c r="P103" t="str">
        <f t="shared" si="9"/>
        <v>Yes</v>
      </c>
      <c r="Q103">
        <f>IF(Booking_Data[[#This Row],[Discounted Booking]]="Yes",1,0)</f>
        <v>1</v>
      </c>
      <c r="R103" t="s">
        <v>24</v>
      </c>
      <c r="S103">
        <f>IF(Booking_Data[[#This Row],[Cancellation Status]]="yes",1,0)</f>
        <v>0</v>
      </c>
    </row>
    <row r="104" spans="1:19" x14ac:dyDescent="0.35">
      <c r="A104" t="s">
        <v>235</v>
      </c>
      <c r="B104" t="s">
        <v>236</v>
      </c>
      <c r="C104" s="1">
        <v>45315</v>
      </c>
      <c r="D104" s="1">
        <v>45319</v>
      </c>
      <c r="E104" s="1">
        <v>45328</v>
      </c>
      <c r="F104" s="2">
        <f t="shared" si="5"/>
        <v>4</v>
      </c>
      <c r="G104" s="2" t="str">
        <f t="shared" si="6"/>
        <v>Wednesday</v>
      </c>
      <c r="H104" s="2" t="str">
        <f t="shared" si="7"/>
        <v>January</v>
      </c>
      <c r="I104" t="s">
        <v>30</v>
      </c>
      <c r="J104" t="s">
        <v>15</v>
      </c>
      <c r="K104" t="s">
        <v>58</v>
      </c>
      <c r="L104" t="s">
        <v>17</v>
      </c>
      <c r="M104">
        <v>800.48</v>
      </c>
      <c r="N104">
        <f t="shared" si="8"/>
        <v>9</v>
      </c>
      <c r="O104">
        <v>15</v>
      </c>
      <c r="P104" t="str">
        <f t="shared" si="9"/>
        <v>Yes</v>
      </c>
      <c r="Q104">
        <f>IF(Booking_Data[[#This Row],[Discounted Booking]]="Yes",1,0)</f>
        <v>1</v>
      </c>
      <c r="R104" t="s">
        <v>24</v>
      </c>
      <c r="S104">
        <f>IF(Booking_Data[[#This Row],[Cancellation Status]]="yes",1,0)</f>
        <v>0</v>
      </c>
    </row>
    <row r="105" spans="1:19" x14ac:dyDescent="0.35">
      <c r="A105" t="s">
        <v>237</v>
      </c>
      <c r="B105" t="s">
        <v>238</v>
      </c>
      <c r="C105" s="1">
        <v>45315</v>
      </c>
      <c r="D105" s="1">
        <v>45334</v>
      </c>
      <c r="E105" s="1">
        <v>45343</v>
      </c>
      <c r="F105" s="2">
        <f t="shared" si="5"/>
        <v>4</v>
      </c>
      <c r="G105" s="2" t="str">
        <f t="shared" si="6"/>
        <v>Wednesday</v>
      </c>
      <c r="H105" s="2" t="str">
        <f t="shared" si="7"/>
        <v>January</v>
      </c>
      <c r="I105" t="s">
        <v>14</v>
      </c>
      <c r="J105" t="s">
        <v>21</v>
      </c>
      <c r="K105" t="s">
        <v>42</v>
      </c>
      <c r="L105" t="s">
        <v>17</v>
      </c>
      <c r="M105">
        <v>513.4</v>
      </c>
      <c r="N105">
        <f t="shared" si="8"/>
        <v>9</v>
      </c>
      <c r="O105">
        <v>10</v>
      </c>
      <c r="P105" t="str">
        <f t="shared" si="9"/>
        <v>Yes</v>
      </c>
      <c r="Q105">
        <f>IF(Booking_Data[[#This Row],[Discounted Booking]]="Yes",1,0)</f>
        <v>1</v>
      </c>
      <c r="R105" t="s">
        <v>24</v>
      </c>
      <c r="S105">
        <f>IF(Booking_Data[[#This Row],[Cancellation Status]]="yes",1,0)</f>
        <v>0</v>
      </c>
    </row>
    <row r="106" spans="1:19" x14ac:dyDescent="0.35">
      <c r="A106" t="s">
        <v>239</v>
      </c>
      <c r="B106" t="s">
        <v>240</v>
      </c>
      <c r="C106" s="1">
        <v>45315</v>
      </c>
      <c r="D106" s="1">
        <v>45331</v>
      </c>
      <c r="E106" s="1">
        <v>45335</v>
      </c>
      <c r="F106" s="2">
        <f t="shared" si="5"/>
        <v>4</v>
      </c>
      <c r="G106" s="2" t="str">
        <f t="shared" si="6"/>
        <v>Wednesday</v>
      </c>
      <c r="H106" s="2" t="str">
        <f t="shared" si="7"/>
        <v>January</v>
      </c>
      <c r="I106" t="s">
        <v>30</v>
      </c>
      <c r="J106" t="s">
        <v>36</v>
      </c>
      <c r="K106" t="s">
        <v>22</v>
      </c>
      <c r="L106" t="s">
        <v>23</v>
      </c>
      <c r="M106">
        <v>112.35</v>
      </c>
      <c r="N106">
        <f t="shared" si="8"/>
        <v>4</v>
      </c>
      <c r="O106">
        <v>0</v>
      </c>
      <c r="P106" t="str">
        <f t="shared" si="9"/>
        <v>No</v>
      </c>
      <c r="Q106">
        <f>IF(Booking_Data[[#This Row],[Discounted Booking]]="Yes",1,0)</f>
        <v>0</v>
      </c>
      <c r="R106" t="s">
        <v>18</v>
      </c>
      <c r="S106">
        <f>IF(Booking_Data[[#This Row],[Cancellation Status]]="yes",1,0)</f>
        <v>1</v>
      </c>
    </row>
    <row r="107" spans="1:19" x14ac:dyDescent="0.35">
      <c r="A107" t="s">
        <v>241</v>
      </c>
      <c r="B107" t="s">
        <v>242</v>
      </c>
      <c r="C107" s="1">
        <v>45315</v>
      </c>
      <c r="D107" s="1">
        <v>45321</v>
      </c>
      <c r="E107" s="1">
        <v>45322</v>
      </c>
      <c r="F107" s="2">
        <f t="shared" si="5"/>
        <v>4</v>
      </c>
      <c r="G107" s="2" t="str">
        <f t="shared" si="6"/>
        <v>Wednesday</v>
      </c>
      <c r="H107" s="2" t="str">
        <f t="shared" si="7"/>
        <v>January</v>
      </c>
      <c r="I107" t="s">
        <v>14</v>
      </c>
      <c r="J107" t="s">
        <v>21</v>
      </c>
      <c r="K107" t="s">
        <v>49</v>
      </c>
      <c r="L107" t="s">
        <v>37</v>
      </c>
      <c r="M107">
        <v>1498.06</v>
      </c>
      <c r="N107">
        <f t="shared" si="8"/>
        <v>1</v>
      </c>
      <c r="O107">
        <v>10</v>
      </c>
      <c r="P107" t="str">
        <f t="shared" si="9"/>
        <v>Yes</v>
      </c>
      <c r="Q107">
        <f>IF(Booking_Data[[#This Row],[Discounted Booking]]="Yes",1,0)</f>
        <v>1</v>
      </c>
      <c r="R107" t="s">
        <v>18</v>
      </c>
      <c r="S107">
        <f>IF(Booking_Data[[#This Row],[Cancellation Status]]="yes",1,0)</f>
        <v>1</v>
      </c>
    </row>
    <row r="108" spans="1:19" x14ac:dyDescent="0.35">
      <c r="A108" t="s">
        <v>243</v>
      </c>
      <c r="B108" t="s">
        <v>244</v>
      </c>
      <c r="C108" s="1">
        <v>45315</v>
      </c>
      <c r="D108" s="1">
        <v>45345</v>
      </c>
      <c r="E108" s="1">
        <v>45353</v>
      </c>
      <c r="F108" s="2">
        <f t="shared" si="5"/>
        <v>4</v>
      </c>
      <c r="G108" s="2" t="str">
        <f t="shared" si="6"/>
        <v>Wednesday</v>
      </c>
      <c r="H108" s="2" t="str">
        <f t="shared" si="7"/>
        <v>January</v>
      </c>
      <c r="I108" t="s">
        <v>14</v>
      </c>
      <c r="J108" t="s">
        <v>36</v>
      </c>
      <c r="K108" t="s">
        <v>16</v>
      </c>
      <c r="L108" t="s">
        <v>27</v>
      </c>
      <c r="M108">
        <v>699.42</v>
      </c>
      <c r="N108">
        <f t="shared" si="8"/>
        <v>8</v>
      </c>
      <c r="O108">
        <v>25</v>
      </c>
      <c r="P108" t="str">
        <f t="shared" si="9"/>
        <v>Yes</v>
      </c>
      <c r="Q108">
        <f>IF(Booking_Data[[#This Row],[Discounted Booking]]="Yes",1,0)</f>
        <v>1</v>
      </c>
      <c r="R108" t="s">
        <v>24</v>
      </c>
      <c r="S108">
        <f>IF(Booking_Data[[#This Row],[Cancellation Status]]="yes",1,0)</f>
        <v>0</v>
      </c>
    </row>
    <row r="109" spans="1:19" x14ac:dyDescent="0.35">
      <c r="A109" t="s">
        <v>245</v>
      </c>
      <c r="B109" t="s">
        <v>246</v>
      </c>
      <c r="C109" s="1">
        <v>45316</v>
      </c>
      <c r="D109" s="1">
        <v>45329</v>
      </c>
      <c r="E109" s="1">
        <v>45334</v>
      </c>
      <c r="F109" s="2">
        <f t="shared" si="5"/>
        <v>4</v>
      </c>
      <c r="G109" s="2" t="str">
        <f t="shared" si="6"/>
        <v>Thursday</v>
      </c>
      <c r="H109" s="2" t="str">
        <f t="shared" si="7"/>
        <v>January</v>
      </c>
      <c r="I109" t="s">
        <v>14</v>
      </c>
      <c r="J109" t="s">
        <v>15</v>
      </c>
      <c r="K109" t="s">
        <v>32</v>
      </c>
      <c r="L109" t="s">
        <v>37</v>
      </c>
      <c r="M109">
        <v>411.62</v>
      </c>
      <c r="N109">
        <f t="shared" si="8"/>
        <v>5</v>
      </c>
      <c r="O109">
        <v>20</v>
      </c>
      <c r="P109" t="str">
        <f t="shared" si="9"/>
        <v>Yes</v>
      </c>
      <c r="Q109">
        <f>IF(Booking_Data[[#This Row],[Discounted Booking]]="Yes",1,0)</f>
        <v>1</v>
      </c>
      <c r="R109" t="s">
        <v>24</v>
      </c>
      <c r="S109">
        <f>IF(Booking_Data[[#This Row],[Cancellation Status]]="yes",1,0)</f>
        <v>0</v>
      </c>
    </row>
    <row r="110" spans="1:19" x14ac:dyDescent="0.35">
      <c r="A110" t="s">
        <v>247</v>
      </c>
      <c r="B110" t="s">
        <v>248</v>
      </c>
      <c r="C110" s="1">
        <v>45316</v>
      </c>
      <c r="D110" s="1">
        <v>45332</v>
      </c>
      <c r="E110" s="1">
        <v>45334</v>
      </c>
      <c r="F110" s="2">
        <f t="shared" si="5"/>
        <v>4</v>
      </c>
      <c r="G110" s="2" t="str">
        <f t="shared" si="6"/>
        <v>Thursday</v>
      </c>
      <c r="H110" s="2" t="str">
        <f t="shared" si="7"/>
        <v>January</v>
      </c>
      <c r="I110" t="s">
        <v>35</v>
      </c>
      <c r="J110" t="s">
        <v>31</v>
      </c>
      <c r="K110" t="s">
        <v>58</v>
      </c>
      <c r="L110" t="s">
        <v>37</v>
      </c>
      <c r="M110">
        <v>269.2</v>
      </c>
      <c r="N110">
        <f t="shared" si="8"/>
        <v>2</v>
      </c>
      <c r="O110">
        <v>15</v>
      </c>
      <c r="P110" t="str">
        <f t="shared" si="9"/>
        <v>Yes</v>
      </c>
      <c r="Q110">
        <f>IF(Booking_Data[[#This Row],[Discounted Booking]]="Yes",1,0)</f>
        <v>1</v>
      </c>
      <c r="R110" t="s">
        <v>24</v>
      </c>
      <c r="S110">
        <f>IF(Booking_Data[[#This Row],[Cancellation Status]]="yes",1,0)</f>
        <v>0</v>
      </c>
    </row>
    <row r="111" spans="1:19" x14ac:dyDescent="0.35">
      <c r="A111" t="s">
        <v>249</v>
      </c>
      <c r="B111" t="s">
        <v>250</v>
      </c>
      <c r="C111" s="1">
        <v>45316</v>
      </c>
      <c r="D111" s="1">
        <v>45334</v>
      </c>
      <c r="E111" s="1">
        <v>45342</v>
      </c>
      <c r="F111" s="2">
        <f t="shared" si="5"/>
        <v>4</v>
      </c>
      <c r="G111" s="2" t="str">
        <f t="shared" si="6"/>
        <v>Thursday</v>
      </c>
      <c r="H111" s="2" t="str">
        <f t="shared" si="7"/>
        <v>January</v>
      </c>
      <c r="I111" t="s">
        <v>30</v>
      </c>
      <c r="J111" t="s">
        <v>15</v>
      </c>
      <c r="K111" t="s">
        <v>58</v>
      </c>
      <c r="L111" t="s">
        <v>17</v>
      </c>
      <c r="M111">
        <v>656.28</v>
      </c>
      <c r="N111">
        <f t="shared" si="8"/>
        <v>8</v>
      </c>
      <c r="O111">
        <v>10</v>
      </c>
      <c r="P111" t="str">
        <f t="shared" si="9"/>
        <v>Yes</v>
      </c>
      <c r="Q111">
        <f>IF(Booking_Data[[#This Row],[Discounted Booking]]="Yes",1,0)</f>
        <v>1</v>
      </c>
      <c r="R111" t="s">
        <v>24</v>
      </c>
      <c r="S111">
        <f>IF(Booking_Data[[#This Row],[Cancellation Status]]="yes",1,0)</f>
        <v>0</v>
      </c>
    </row>
    <row r="112" spans="1:19" x14ac:dyDescent="0.35">
      <c r="A112" t="s">
        <v>251</v>
      </c>
      <c r="B112" t="s">
        <v>252</v>
      </c>
      <c r="C112" s="1">
        <v>45316</v>
      </c>
      <c r="D112" s="1">
        <v>45341</v>
      </c>
      <c r="E112" s="1">
        <v>45349</v>
      </c>
      <c r="F112" s="2">
        <f t="shared" si="5"/>
        <v>4</v>
      </c>
      <c r="G112" s="2" t="str">
        <f t="shared" si="6"/>
        <v>Thursday</v>
      </c>
      <c r="H112" s="2" t="str">
        <f t="shared" si="7"/>
        <v>January</v>
      </c>
      <c r="I112" t="s">
        <v>14</v>
      </c>
      <c r="J112" t="s">
        <v>36</v>
      </c>
      <c r="K112" t="s">
        <v>49</v>
      </c>
      <c r="L112" t="s">
        <v>17</v>
      </c>
      <c r="M112">
        <v>987.5</v>
      </c>
      <c r="N112">
        <f t="shared" si="8"/>
        <v>8</v>
      </c>
      <c r="O112">
        <v>15</v>
      </c>
      <c r="P112" t="str">
        <f t="shared" si="9"/>
        <v>Yes</v>
      </c>
      <c r="Q112">
        <f>IF(Booking_Data[[#This Row],[Discounted Booking]]="Yes",1,0)</f>
        <v>1</v>
      </c>
      <c r="R112" t="s">
        <v>18</v>
      </c>
      <c r="S112">
        <f>IF(Booking_Data[[#This Row],[Cancellation Status]]="yes",1,0)</f>
        <v>1</v>
      </c>
    </row>
    <row r="113" spans="1:19" x14ac:dyDescent="0.35">
      <c r="A113" t="s">
        <v>253</v>
      </c>
      <c r="B113" t="s">
        <v>254</v>
      </c>
      <c r="C113" s="1">
        <v>45316</v>
      </c>
      <c r="D113" s="1">
        <v>45333</v>
      </c>
      <c r="E113" s="1">
        <v>45336</v>
      </c>
      <c r="F113" s="2">
        <f t="shared" si="5"/>
        <v>4</v>
      </c>
      <c r="G113" s="2" t="str">
        <f t="shared" si="6"/>
        <v>Thursday</v>
      </c>
      <c r="H113" s="2" t="str">
        <f t="shared" si="7"/>
        <v>January</v>
      </c>
      <c r="I113" t="s">
        <v>14</v>
      </c>
      <c r="J113" t="s">
        <v>36</v>
      </c>
      <c r="K113" t="s">
        <v>22</v>
      </c>
      <c r="L113" t="s">
        <v>23</v>
      </c>
      <c r="M113">
        <v>1457.62</v>
      </c>
      <c r="N113">
        <f t="shared" si="8"/>
        <v>3</v>
      </c>
      <c r="O113">
        <v>15</v>
      </c>
      <c r="P113" t="str">
        <f t="shared" si="9"/>
        <v>Yes</v>
      </c>
      <c r="Q113">
        <f>IF(Booking_Data[[#This Row],[Discounted Booking]]="Yes",1,0)</f>
        <v>1</v>
      </c>
      <c r="R113" t="s">
        <v>24</v>
      </c>
      <c r="S113">
        <f>IF(Booking_Data[[#This Row],[Cancellation Status]]="yes",1,0)</f>
        <v>0</v>
      </c>
    </row>
    <row r="114" spans="1:19" x14ac:dyDescent="0.35">
      <c r="A114" t="s">
        <v>255</v>
      </c>
      <c r="B114" t="s">
        <v>256</v>
      </c>
      <c r="C114" s="1">
        <v>45317</v>
      </c>
      <c r="D114" s="1">
        <v>45341</v>
      </c>
      <c r="E114" s="1">
        <v>45348</v>
      </c>
      <c r="F114" s="2">
        <f t="shared" si="5"/>
        <v>4</v>
      </c>
      <c r="G114" s="2" t="str">
        <f t="shared" si="6"/>
        <v>Friday</v>
      </c>
      <c r="H114" s="2" t="str">
        <f t="shared" si="7"/>
        <v>January</v>
      </c>
      <c r="I114" t="s">
        <v>35</v>
      </c>
      <c r="J114" t="s">
        <v>36</v>
      </c>
      <c r="K114" t="s">
        <v>42</v>
      </c>
      <c r="L114" t="s">
        <v>37</v>
      </c>
      <c r="M114">
        <v>1232.9100000000001</v>
      </c>
      <c r="N114">
        <f t="shared" si="8"/>
        <v>7</v>
      </c>
      <c r="O114">
        <v>5</v>
      </c>
      <c r="P114" t="str">
        <f t="shared" si="9"/>
        <v>Yes</v>
      </c>
      <c r="Q114">
        <f>IF(Booking_Data[[#This Row],[Discounted Booking]]="Yes",1,0)</f>
        <v>1</v>
      </c>
      <c r="R114" t="s">
        <v>18</v>
      </c>
      <c r="S114">
        <f>IF(Booking_Data[[#This Row],[Cancellation Status]]="yes",1,0)</f>
        <v>1</v>
      </c>
    </row>
    <row r="115" spans="1:19" x14ac:dyDescent="0.35">
      <c r="A115" t="s">
        <v>257</v>
      </c>
      <c r="B115" t="s">
        <v>258</v>
      </c>
      <c r="C115" s="1">
        <v>45317</v>
      </c>
      <c r="D115" s="1">
        <v>45324</v>
      </c>
      <c r="E115" s="1">
        <v>45332</v>
      </c>
      <c r="F115" s="2">
        <f t="shared" si="5"/>
        <v>4</v>
      </c>
      <c r="G115" s="2" t="str">
        <f t="shared" si="6"/>
        <v>Friday</v>
      </c>
      <c r="H115" s="2" t="str">
        <f t="shared" si="7"/>
        <v>January</v>
      </c>
      <c r="I115" t="s">
        <v>30</v>
      </c>
      <c r="J115" t="s">
        <v>21</v>
      </c>
      <c r="K115" t="s">
        <v>58</v>
      </c>
      <c r="L115" t="s">
        <v>23</v>
      </c>
      <c r="M115">
        <v>737.27</v>
      </c>
      <c r="N115">
        <f t="shared" si="8"/>
        <v>8</v>
      </c>
      <c r="O115">
        <v>20</v>
      </c>
      <c r="P115" t="str">
        <f t="shared" si="9"/>
        <v>Yes</v>
      </c>
      <c r="Q115">
        <f>IF(Booking_Data[[#This Row],[Discounted Booking]]="Yes",1,0)</f>
        <v>1</v>
      </c>
      <c r="R115" t="s">
        <v>18</v>
      </c>
      <c r="S115">
        <f>IF(Booking_Data[[#This Row],[Cancellation Status]]="yes",1,0)</f>
        <v>1</v>
      </c>
    </row>
    <row r="116" spans="1:19" x14ac:dyDescent="0.35">
      <c r="A116" t="s">
        <v>259</v>
      </c>
      <c r="B116" t="s">
        <v>260</v>
      </c>
      <c r="C116" s="1">
        <v>45317</v>
      </c>
      <c r="D116" s="1">
        <v>45341</v>
      </c>
      <c r="E116" s="1">
        <v>45345</v>
      </c>
      <c r="F116" s="2">
        <f t="shared" si="5"/>
        <v>4</v>
      </c>
      <c r="G116" s="2" t="str">
        <f t="shared" si="6"/>
        <v>Friday</v>
      </c>
      <c r="H116" s="2" t="str">
        <f t="shared" si="7"/>
        <v>January</v>
      </c>
      <c r="I116" t="s">
        <v>14</v>
      </c>
      <c r="J116" t="s">
        <v>15</v>
      </c>
      <c r="K116" t="s">
        <v>16</v>
      </c>
      <c r="L116" t="s">
        <v>27</v>
      </c>
      <c r="M116">
        <v>597.04999999999995</v>
      </c>
      <c r="N116">
        <f t="shared" si="8"/>
        <v>4</v>
      </c>
      <c r="O116">
        <v>10</v>
      </c>
      <c r="P116" t="str">
        <f t="shared" si="9"/>
        <v>Yes</v>
      </c>
      <c r="Q116">
        <f>IF(Booking_Data[[#This Row],[Discounted Booking]]="Yes",1,0)</f>
        <v>1</v>
      </c>
      <c r="R116" t="s">
        <v>18</v>
      </c>
      <c r="S116">
        <f>IF(Booking_Data[[#This Row],[Cancellation Status]]="yes",1,0)</f>
        <v>1</v>
      </c>
    </row>
    <row r="117" spans="1:19" x14ac:dyDescent="0.35">
      <c r="A117" t="s">
        <v>261</v>
      </c>
      <c r="B117" t="s">
        <v>262</v>
      </c>
      <c r="C117" s="1">
        <v>45317</v>
      </c>
      <c r="D117" s="1">
        <v>45339</v>
      </c>
      <c r="E117" s="1">
        <v>45340</v>
      </c>
      <c r="F117" s="2">
        <f t="shared" si="5"/>
        <v>4</v>
      </c>
      <c r="G117" s="2" t="str">
        <f t="shared" si="6"/>
        <v>Friday</v>
      </c>
      <c r="H117" s="2" t="str">
        <f t="shared" si="7"/>
        <v>January</v>
      </c>
      <c r="I117" t="s">
        <v>35</v>
      </c>
      <c r="J117" t="s">
        <v>15</v>
      </c>
      <c r="K117" t="s">
        <v>42</v>
      </c>
      <c r="L117" t="s">
        <v>27</v>
      </c>
      <c r="M117">
        <v>339.9</v>
      </c>
      <c r="N117">
        <f t="shared" si="8"/>
        <v>1</v>
      </c>
      <c r="O117">
        <v>10</v>
      </c>
      <c r="P117" t="str">
        <f t="shared" si="9"/>
        <v>Yes</v>
      </c>
      <c r="Q117">
        <f>IF(Booking_Data[[#This Row],[Discounted Booking]]="Yes",1,0)</f>
        <v>1</v>
      </c>
      <c r="R117" t="s">
        <v>24</v>
      </c>
      <c r="S117">
        <f>IF(Booking_Data[[#This Row],[Cancellation Status]]="yes",1,0)</f>
        <v>0</v>
      </c>
    </row>
    <row r="118" spans="1:19" x14ac:dyDescent="0.35">
      <c r="A118" t="s">
        <v>263</v>
      </c>
      <c r="B118" t="s">
        <v>264</v>
      </c>
      <c r="C118" s="1">
        <v>45318</v>
      </c>
      <c r="D118" s="1">
        <v>45333</v>
      </c>
      <c r="E118" s="1">
        <v>45334</v>
      </c>
      <c r="F118" s="2">
        <f t="shared" si="5"/>
        <v>4</v>
      </c>
      <c r="G118" s="2" t="str">
        <f t="shared" si="6"/>
        <v>Saturday</v>
      </c>
      <c r="H118" s="2" t="str">
        <f t="shared" si="7"/>
        <v>January</v>
      </c>
      <c r="I118" t="s">
        <v>14</v>
      </c>
      <c r="J118" t="s">
        <v>36</v>
      </c>
      <c r="K118" t="s">
        <v>16</v>
      </c>
      <c r="L118" t="s">
        <v>27</v>
      </c>
      <c r="M118">
        <v>1338.07</v>
      </c>
      <c r="N118">
        <f t="shared" si="8"/>
        <v>1</v>
      </c>
      <c r="O118">
        <v>0</v>
      </c>
      <c r="P118" t="str">
        <f t="shared" si="9"/>
        <v>No</v>
      </c>
      <c r="Q118">
        <f>IF(Booking_Data[[#This Row],[Discounted Booking]]="Yes",1,0)</f>
        <v>0</v>
      </c>
      <c r="R118" t="s">
        <v>18</v>
      </c>
      <c r="S118">
        <f>IF(Booking_Data[[#This Row],[Cancellation Status]]="yes",1,0)</f>
        <v>1</v>
      </c>
    </row>
    <row r="119" spans="1:19" x14ac:dyDescent="0.35">
      <c r="A119" t="s">
        <v>265</v>
      </c>
      <c r="B119" t="s">
        <v>266</v>
      </c>
      <c r="C119" s="1">
        <v>45318</v>
      </c>
      <c r="D119" s="1">
        <v>45345</v>
      </c>
      <c r="E119" s="1">
        <v>45349</v>
      </c>
      <c r="F119" s="2">
        <f t="shared" si="5"/>
        <v>4</v>
      </c>
      <c r="G119" s="2" t="str">
        <f t="shared" si="6"/>
        <v>Saturday</v>
      </c>
      <c r="H119" s="2" t="str">
        <f t="shared" si="7"/>
        <v>January</v>
      </c>
      <c r="I119" t="s">
        <v>30</v>
      </c>
      <c r="J119" t="s">
        <v>36</v>
      </c>
      <c r="K119" t="s">
        <v>16</v>
      </c>
      <c r="L119" t="s">
        <v>37</v>
      </c>
      <c r="M119">
        <v>244.77</v>
      </c>
      <c r="N119">
        <f t="shared" si="8"/>
        <v>4</v>
      </c>
      <c r="O119">
        <v>15</v>
      </c>
      <c r="P119" t="str">
        <f t="shared" si="9"/>
        <v>Yes</v>
      </c>
      <c r="Q119">
        <f>IF(Booking_Data[[#This Row],[Discounted Booking]]="Yes",1,0)</f>
        <v>1</v>
      </c>
      <c r="R119" t="s">
        <v>18</v>
      </c>
      <c r="S119">
        <f>IF(Booking_Data[[#This Row],[Cancellation Status]]="yes",1,0)</f>
        <v>1</v>
      </c>
    </row>
    <row r="120" spans="1:19" x14ac:dyDescent="0.35">
      <c r="A120" t="s">
        <v>267</v>
      </c>
      <c r="B120" t="s">
        <v>268</v>
      </c>
      <c r="C120" s="1">
        <v>45318</v>
      </c>
      <c r="D120" s="1">
        <v>45346</v>
      </c>
      <c r="E120" s="1">
        <v>45351</v>
      </c>
      <c r="F120" s="2">
        <f t="shared" si="5"/>
        <v>4</v>
      </c>
      <c r="G120" s="2" t="str">
        <f t="shared" si="6"/>
        <v>Saturday</v>
      </c>
      <c r="H120" s="2" t="str">
        <f t="shared" si="7"/>
        <v>January</v>
      </c>
      <c r="I120" t="s">
        <v>14</v>
      </c>
      <c r="J120" t="s">
        <v>36</v>
      </c>
      <c r="K120" t="s">
        <v>22</v>
      </c>
      <c r="L120" t="s">
        <v>17</v>
      </c>
      <c r="M120">
        <v>349.52</v>
      </c>
      <c r="N120">
        <f t="shared" si="8"/>
        <v>5</v>
      </c>
      <c r="O120">
        <v>15</v>
      </c>
      <c r="P120" t="str">
        <f t="shared" si="9"/>
        <v>Yes</v>
      </c>
      <c r="Q120">
        <f>IF(Booking_Data[[#This Row],[Discounted Booking]]="Yes",1,0)</f>
        <v>1</v>
      </c>
      <c r="R120" t="s">
        <v>24</v>
      </c>
      <c r="S120">
        <f>IF(Booking_Data[[#This Row],[Cancellation Status]]="yes",1,0)</f>
        <v>0</v>
      </c>
    </row>
    <row r="121" spans="1:19" x14ac:dyDescent="0.35">
      <c r="A121" t="s">
        <v>269</v>
      </c>
      <c r="B121" t="s">
        <v>270</v>
      </c>
      <c r="C121" s="1">
        <v>45318</v>
      </c>
      <c r="D121" s="1">
        <v>45323</v>
      </c>
      <c r="E121" s="1">
        <v>45333</v>
      </c>
      <c r="F121" s="2">
        <f t="shared" si="5"/>
        <v>4</v>
      </c>
      <c r="G121" s="2" t="str">
        <f t="shared" si="6"/>
        <v>Saturday</v>
      </c>
      <c r="H121" s="2" t="str">
        <f t="shared" si="7"/>
        <v>January</v>
      </c>
      <c r="I121" t="s">
        <v>30</v>
      </c>
      <c r="J121" t="s">
        <v>21</v>
      </c>
      <c r="K121" t="s">
        <v>22</v>
      </c>
      <c r="L121" t="s">
        <v>17</v>
      </c>
      <c r="M121">
        <v>904.72</v>
      </c>
      <c r="N121">
        <f t="shared" si="8"/>
        <v>10</v>
      </c>
      <c r="O121">
        <v>15</v>
      </c>
      <c r="P121" t="str">
        <f t="shared" si="9"/>
        <v>Yes</v>
      </c>
      <c r="Q121">
        <f>IF(Booking_Data[[#This Row],[Discounted Booking]]="Yes",1,0)</f>
        <v>1</v>
      </c>
      <c r="R121" t="s">
        <v>24</v>
      </c>
      <c r="S121">
        <f>IF(Booking_Data[[#This Row],[Cancellation Status]]="yes",1,0)</f>
        <v>0</v>
      </c>
    </row>
    <row r="122" spans="1:19" x14ac:dyDescent="0.35">
      <c r="A122" t="s">
        <v>271</v>
      </c>
      <c r="B122" t="s">
        <v>272</v>
      </c>
      <c r="C122" s="1">
        <v>45319</v>
      </c>
      <c r="D122" s="1">
        <v>45331</v>
      </c>
      <c r="E122" s="1">
        <v>45339</v>
      </c>
      <c r="F122" s="2">
        <f t="shared" si="5"/>
        <v>5</v>
      </c>
      <c r="G122" s="2" t="str">
        <f t="shared" si="6"/>
        <v>Sunday</v>
      </c>
      <c r="H122" s="2" t="str">
        <f t="shared" si="7"/>
        <v>January</v>
      </c>
      <c r="I122" t="s">
        <v>30</v>
      </c>
      <c r="J122" t="s">
        <v>31</v>
      </c>
      <c r="K122" t="s">
        <v>32</v>
      </c>
      <c r="L122" t="s">
        <v>27</v>
      </c>
      <c r="M122">
        <v>761.26</v>
      </c>
      <c r="N122">
        <f t="shared" si="8"/>
        <v>8</v>
      </c>
      <c r="O122">
        <v>0</v>
      </c>
      <c r="P122" t="str">
        <f t="shared" si="9"/>
        <v>No</v>
      </c>
      <c r="Q122">
        <f>IF(Booking_Data[[#This Row],[Discounted Booking]]="Yes",1,0)</f>
        <v>0</v>
      </c>
      <c r="R122" t="s">
        <v>18</v>
      </c>
      <c r="S122">
        <f>IF(Booking_Data[[#This Row],[Cancellation Status]]="yes",1,0)</f>
        <v>1</v>
      </c>
    </row>
    <row r="123" spans="1:19" x14ac:dyDescent="0.35">
      <c r="A123" t="s">
        <v>273</v>
      </c>
      <c r="B123" t="s">
        <v>274</v>
      </c>
      <c r="C123" s="1">
        <v>45319</v>
      </c>
      <c r="D123" s="1">
        <v>45327</v>
      </c>
      <c r="E123" s="1">
        <v>45331</v>
      </c>
      <c r="F123" s="2">
        <f t="shared" si="5"/>
        <v>5</v>
      </c>
      <c r="G123" s="2" t="str">
        <f t="shared" si="6"/>
        <v>Sunday</v>
      </c>
      <c r="H123" s="2" t="str">
        <f t="shared" si="7"/>
        <v>January</v>
      </c>
      <c r="I123" t="s">
        <v>14</v>
      </c>
      <c r="J123" t="s">
        <v>15</v>
      </c>
      <c r="K123" t="s">
        <v>42</v>
      </c>
      <c r="L123" t="s">
        <v>23</v>
      </c>
      <c r="M123">
        <v>1266.67</v>
      </c>
      <c r="N123">
        <f t="shared" si="8"/>
        <v>4</v>
      </c>
      <c r="O123">
        <v>5</v>
      </c>
      <c r="P123" t="str">
        <f t="shared" si="9"/>
        <v>Yes</v>
      </c>
      <c r="Q123">
        <f>IF(Booking_Data[[#This Row],[Discounted Booking]]="Yes",1,0)</f>
        <v>1</v>
      </c>
      <c r="R123" t="s">
        <v>24</v>
      </c>
      <c r="S123">
        <f>IF(Booking_Data[[#This Row],[Cancellation Status]]="yes",1,0)</f>
        <v>0</v>
      </c>
    </row>
    <row r="124" spans="1:19" x14ac:dyDescent="0.35">
      <c r="A124" t="s">
        <v>275</v>
      </c>
      <c r="B124" t="s">
        <v>276</v>
      </c>
      <c r="C124" s="1">
        <v>45319</v>
      </c>
      <c r="D124" s="1">
        <v>45335</v>
      </c>
      <c r="E124" s="1">
        <v>45344</v>
      </c>
      <c r="F124" s="2">
        <f t="shared" si="5"/>
        <v>5</v>
      </c>
      <c r="G124" s="2" t="str">
        <f t="shared" si="6"/>
        <v>Sunday</v>
      </c>
      <c r="H124" s="2" t="str">
        <f t="shared" si="7"/>
        <v>January</v>
      </c>
      <c r="I124" t="s">
        <v>35</v>
      </c>
      <c r="J124" t="s">
        <v>31</v>
      </c>
      <c r="K124" t="s">
        <v>49</v>
      </c>
      <c r="L124" t="s">
        <v>37</v>
      </c>
      <c r="M124">
        <v>243.39</v>
      </c>
      <c r="N124">
        <f t="shared" si="8"/>
        <v>9</v>
      </c>
      <c r="O124">
        <v>25</v>
      </c>
      <c r="P124" t="str">
        <f t="shared" si="9"/>
        <v>Yes</v>
      </c>
      <c r="Q124">
        <f>IF(Booking_Data[[#This Row],[Discounted Booking]]="Yes",1,0)</f>
        <v>1</v>
      </c>
      <c r="R124" t="s">
        <v>24</v>
      </c>
      <c r="S124">
        <f>IF(Booking_Data[[#This Row],[Cancellation Status]]="yes",1,0)</f>
        <v>0</v>
      </c>
    </row>
    <row r="125" spans="1:19" x14ac:dyDescent="0.35">
      <c r="A125" t="s">
        <v>277</v>
      </c>
      <c r="B125" t="s">
        <v>278</v>
      </c>
      <c r="C125" s="1">
        <v>45319</v>
      </c>
      <c r="D125" s="1">
        <v>45320</v>
      </c>
      <c r="E125" s="1">
        <v>45323</v>
      </c>
      <c r="F125" s="2">
        <f t="shared" si="5"/>
        <v>5</v>
      </c>
      <c r="G125" s="2" t="str">
        <f t="shared" si="6"/>
        <v>Sunday</v>
      </c>
      <c r="H125" s="2" t="str">
        <f t="shared" si="7"/>
        <v>January</v>
      </c>
      <c r="I125" t="s">
        <v>35</v>
      </c>
      <c r="J125" t="s">
        <v>36</v>
      </c>
      <c r="K125" t="s">
        <v>16</v>
      </c>
      <c r="L125" t="s">
        <v>37</v>
      </c>
      <c r="M125">
        <v>990.53</v>
      </c>
      <c r="N125">
        <f t="shared" si="8"/>
        <v>3</v>
      </c>
      <c r="O125">
        <v>15</v>
      </c>
      <c r="P125" t="str">
        <f t="shared" si="9"/>
        <v>Yes</v>
      </c>
      <c r="Q125">
        <f>IF(Booking_Data[[#This Row],[Discounted Booking]]="Yes",1,0)</f>
        <v>1</v>
      </c>
      <c r="R125" t="s">
        <v>24</v>
      </c>
      <c r="S125">
        <f>IF(Booking_Data[[#This Row],[Cancellation Status]]="yes",1,0)</f>
        <v>0</v>
      </c>
    </row>
    <row r="126" spans="1:19" x14ac:dyDescent="0.35">
      <c r="A126" t="s">
        <v>279</v>
      </c>
      <c r="B126" t="s">
        <v>280</v>
      </c>
      <c r="C126" s="1">
        <v>45319</v>
      </c>
      <c r="D126" s="1">
        <v>45343</v>
      </c>
      <c r="E126" s="1">
        <v>45345</v>
      </c>
      <c r="F126" s="2">
        <f t="shared" si="5"/>
        <v>5</v>
      </c>
      <c r="G126" s="2" t="str">
        <f t="shared" si="6"/>
        <v>Sunday</v>
      </c>
      <c r="H126" s="2" t="str">
        <f t="shared" si="7"/>
        <v>January</v>
      </c>
      <c r="I126" t="s">
        <v>14</v>
      </c>
      <c r="J126" t="s">
        <v>36</v>
      </c>
      <c r="K126" t="s">
        <v>58</v>
      </c>
      <c r="L126" t="s">
        <v>27</v>
      </c>
      <c r="M126">
        <v>1095.7</v>
      </c>
      <c r="N126">
        <f t="shared" si="8"/>
        <v>2</v>
      </c>
      <c r="O126">
        <v>5</v>
      </c>
      <c r="P126" t="str">
        <f t="shared" si="9"/>
        <v>Yes</v>
      </c>
      <c r="Q126">
        <f>IF(Booking_Data[[#This Row],[Discounted Booking]]="Yes",1,0)</f>
        <v>1</v>
      </c>
      <c r="R126" t="s">
        <v>24</v>
      </c>
      <c r="S126">
        <f>IF(Booking_Data[[#This Row],[Cancellation Status]]="yes",1,0)</f>
        <v>0</v>
      </c>
    </row>
    <row r="127" spans="1:19" x14ac:dyDescent="0.35">
      <c r="A127" t="s">
        <v>281</v>
      </c>
      <c r="B127" t="s">
        <v>282</v>
      </c>
      <c r="C127" s="1">
        <v>45319</v>
      </c>
      <c r="D127" s="1">
        <v>45335</v>
      </c>
      <c r="E127" s="1">
        <v>45336</v>
      </c>
      <c r="F127" s="2">
        <f t="shared" si="5"/>
        <v>5</v>
      </c>
      <c r="G127" s="2" t="str">
        <f t="shared" si="6"/>
        <v>Sunday</v>
      </c>
      <c r="H127" s="2" t="str">
        <f t="shared" si="7"/>
        <v>January</v>
      </c>
      <c r="I127" t="s">
        <v>30</v>
      </c>
      <c r="J127" t="s">
        <v>31</v>
      </c>
      <c r="K127" t="s">
        <v>16</v>
      </c>
      <c r="L127" t="s">
        <v>37</v>
      </c>
      <c r="M127">
        <v>1043.8399999999999</v>
      </c>
      <c r="N127">
        <f t="shared" si="8"/>
        <v>1</v>
      </c>
      <c r="O127">
        <v>15</v>
      </c>
      <c r="P127" t="str">
        <f t="shared" si="9"/>
        <v>Yes</v>
      </c>
      <c r="Q127">
        <f>IF(Booking_Data[[#This Row],[Discounted Booking]]="Yes",1,0)</f>
        <v>1</v>
      </c>
      <c r="R127" t="s">
        <v>18</v>
      </c>
      <c r="S127">
        <f>IF(Booking_Data[[#This Row],[Cancellation Status]]="yes",1,0)</f>
        <v>1</v>
      </c>
    </row>
    <row r="128" spans="1:19" x14ac:dyDescent="0.35">
      <c r="A128" t="s">
        <v>283</v>
      </c>
      <c r="B128" t="s">
        <v>284</v>
      </c>
      <c r="C128" s="1">
        <v>45320</v>
      </c>
      <c r="D128" s="1">
        <v>45329</v>
      </c>
      <c r="E128" s="1">
        <v>45337</v>
      </c>
      <c r="F128" s="2">
        <f t="shared" si="5"/>
        <v>5</v>
      </c>
      <c r="G128" s="2" t="str">
        <f t="shared" si="6"/>
        <v>Monday</v>
      </c>
      <c r="H128" s="2" t="str">
        <f t="shared" si="7"/>
        <v>January</v>
      </c>
      <c r="I128" t="s">
        <v>35</v>
      </c>
      <c r="J128" t="s">
        <v>15</v>
      </c>
      <c r="K128" t="s">
        <v>16</v>
      </c>
      <c r="L128" t="s">
        <v>27</v>
      </c>
      <c r="M128">
        <v>1295.23</v>
      </c>
      <c r="N128">
        <f t="shared" si="8"/>
        <v>8</v>
      </c>
      <c r="O128">
        <v>25</v>
      </c>
      <c r="P128" t="str">
        <f t="shared" si="9"/>
        <v>Yes</v>
      </c>
      <c r="Q128">
        <f>IF(Booking_Data[[#This Row],[Discounted Booking]]="Yes",1,0)</f>
        <v>1</v>
      </c>
      <c r="R128" t="s">
        <v>24</v>
      </c>
      <c r="S128">
        <f>IF(Booking_Data[[#This Row],[Cancellation Status]]="yes",1,0)</f>
        <v>0</v>
      </c>
    </row>
    <row r="129" spans="1:19" x14ac:dyDescent="0.35">
      <c r="A129" t="s">
        <v>285</v>
      </c>
      <c r="B129" t="s">
        <v>286</v>
      </c>
      <c r="C129" s="1">
        <v>45320</v>
      </c>
      <c r="D129" s="1">
        <v>45325</v>
      </c>
      <c r="E129" s="1">
        <v>45333</v>
      </c>
      <c r="F129" s="2">
        <f t="shared" si="5"/>
        <v>5</v>
      </c>
      <c r="G129" s="2" t="str">
        <f t="shared" si="6"/>
        <v>Monday</v>
      </c>
      <c r="H129" s="2" t="str">
        <f t="shared" si="7"/>
        <v>January</v>
      </c>
      <c r="I129" t="s">
        <v>14</v>
      </c>
      <c r="J129" t="s">
        <v>36</v>
      </c>
      <c r="K129" t="s">
        <v>32</v>
      </c>
      <c r="L129" t="s">
        <v>17</v>
      </c>
      <c r="M129">
        <v>1409.73</v>
      </c>
      <c r="N129">
        <f t="shared" si="8"/>
        <v>8</v>
      </c>
      <c r="O129">
        <v>5</v>
      </c>
      <c r="P129" t="str">
        <f t="shared" si="9"/>
        <v>Yes</v>
      </c>
      <c r="Q129">
        <f>IF(Booking_Data[[#This Row],[Discounted Booking]]="Yes",1,0)</f>
        <v>1</v>
      </c>
      <c r="R129" t="s">
        <v>24</v>
      </c>
      <c r="S129">
        <f>IF(Booking_Data[[#This Row],[Cancellation Status]]="yes",1,0)</f>
        <v>0</v>
      </c>
    </row>
    <row r="130" spans="1:19" x14ac:dyDescent="0.35">
      <c r="A130" t="s">
        <v>287</v>
      </c>
      <c r="B130" t="s">
        <v>288</v>
      </c>
      <c r="C130" s="1">
        <v>45320</v>
      </c>
      <c r="D130" s="1">
        <v>45336</v>
      </c>
      <c r="E130" s="1">
        <v>45345</v>
      </c>
      <c r="F130" s="2">
        <f t="shared" ref="F130:F193" si="10">WEEKNUM(C130) - WEEKNUM(DATE(YEAR(C130), MONTH(C130), 1)) + 1</f>
        <v>5</v>
      </c>
      <c r="G130" s="2" t="str">
        <f t="shared" ref="G130:G193" si="11">TEXT(C130,"dddd")</f>
        <v>Monday</v>
      </c>
      <c r="H130" s="2" t="str">
        <f t="shared" ref="H130:H193" si="12">TEXT(C130, "mmmm")</f>
        <v>January</v>
      </c>
      <c r="I130" t="s">
        <v>35</v>
      </c>
      <c r="J130" t="s">
        <v>15</v>
      </c>
      <c r="K130" t="s">
        <v>32</v>
      </c>
      <c r="L130" t="s">
        <v>23</v>
      </c>
      <c r="M130">
        <v>1336.46</v>
      </c>
      <c r="N130">
        <f t="shared" ref="N130:N193" si="13">_xlfn.DAYS(E130,D130)</f>
        <v>9</v>
      </c>
      <c r="O130">
        <v>25</v>
      </c>
      <c r="P130" t="str">
        <f t="shared" si="9"/>
        <v>Yes</v>
      </c>
      <c r="Q130">
        <f>IF(Booking_Data[[#This Row],[Discounted Booking]]="Yes",1,0)</f>
        <v>1</v>
      </c>
      <c r="R130" t="s">
        <v>24</v>
      </c>
      <c r="S130">
        <f>IF(Booking_Data[[#This Row],[Cancellation Status]]="yes",1,0)</f>
        <v>0</v>
      </c>
    </row>
    <row r="131" spans="1:19" x14ac:dyDescent="0.35">
      <c r="A131" t="s">
        <v>289</v>
      </c>
      <c r="B131" t="s">
        <v>290</v>
      </c>
      <c r="C131" s="1">
        <v>45320</v>
      </c>
      <c r="D131" s="1">
        <v>45329</v>
      </c>
      <c r="E131" s="1">
        <v>45334</v>
      </c>
      <c r="F131" s="2">
        <f t="shared" si="10"/>
        <v>5</v>
      </c>
      <c r="G131" s="2" t="str">
        <f t="shared" si="11"/>
        <v>Monday</v>
      </c>
      <c r="H131" s="2" t="str">
        <f t="shared" si="12"/>
        <v>January</v>
      </c>
      <c r="I131" t="s">
        <v>14</v>
      </c>
      <c r="J131" t="s">
        <v>21</v>
      </c>
      <c r="K131" t="s">
        <v>42</v>
      </c>
      <c r="L131" t="s">
        <v>37</v>
      </c>
      <c r="M131">
        <v>1342.28</v>
      </c>
      <c r="N131">
        <f t="shared" si="13"/>
        <v>5</v>
      </c>
      <c r="O131">
        <v>0</v>
      </c>
      <c r="P131" t="str">
        <f t="shared" ref="P131:P194" si="14">IF(O131&gt;0, "Yes","No")</f>
        <v>No</v>
      </c>
      <c r="Q131">
        <f>IF(Booking_Data[[#This Row],[Discounted Booking]]="Yes",1,0)</f>
        <v>0</v>
      </c>
      <c r="R131" t="s">
        <v>18</v>
      </c>
      <c r="S131">
        <f>IF(Booking_Data[[#This Row],[Cancellation Status]]="yes",1,0)</f>
        <v>1</v>
      </c>
    </row>
    <row r="132" spans="1:19" x14ac:dyDescent="0.35">
      <c r="A132" t="s">
        <v>291</v>
      </c>
      <c r="B132" t="s">
        <v>292</v>
      </c>
      <c r="C132" s="1">
        <v>45320</v>
      </c>
      <c r="D132" s="1">
        <v>45339</v>
      </c>
      <c r="E132" s="1">
        <v>45341</v>
      </c>
      <c r="F132" s="2">
        <f t="shared" si="10"/>
        <v>5</v>
      </c>
      <c r="G132" s="2" t="str">
        <f t="shared" si="11"/>
        <v>Monday</v>
      </c>
      <c r="H132" s="2" t="str">
        <f t="shared" si="12"/>
        <v>January</v>
      </c>
      <c r="I132" t="s">
        <v>14</v>
      </c>
      <c r="J132" t="s">
        <v>15</v>
      </c>
      <c r="K132" t="s">
        <v>22</v>
      </c>
      <c r="L132" t="s">
        <v>37</v>
      </c>
      <c r="M132">
        <v>966.37</v>
      </c>
      <c r="N132">
        <f t="shared" si="13"/>
        <v>2</v>
      </c>
      <c r="O132">
        <v>15</v>
      </c>
      <c r="P132" t="str">
        <f t="shared" si="14"/>
        <v>Yes</v>
      </c>
      <c r="Q132">
        <f>IF(Booking_Data[[#This Row],[Discounted Booking]]="Yes",1,0)</f>
        <v>1</v>
      </c>
      <c r="R132" t="s">
        <v>24</v>
      </c>
      <c r="S132">
        <f>IF(Booking_Data[[#This Row],[Cancellation Status]]="yes",1,0)</f>
        <v>0</v>
      </c>
    </row>
    <row r="133" spans="1:19" x14ac:dyDescent="0.35">
      <c r="A133" t="s">
        <v>293</v>
      </c>
      <c r="B133" t="s">
        <v>126</v>
      </c>
      <c r="C133" s="1">
        <v>45320</v>
      </c>
      <c r="D133" s="1">
        <v>45342</v>
      </c>
      <c r="E133" s="1">
        <v>45345</v>
      </c>
      <c r="F133" s="2">
        <f t="shared" si="10"/>
        <v>5</v>
      </c>
      <c r="G133" s="2" t="str">
        <f t="shared" si="11"/>
        <v>Monday</v>
      </c>
      <c r="H133" s="2" t="str">
        <f t="shared" si="12"/>
        <v>January</v>
      </c>
      <c r="I133" t="s">
        <v>14</v>
      </c>
      <c r="J133" t="s">
        <v>21</v>
      </c>
      <c r="K133" t="s">
        <v>49</v>
      </c>
      <c r="L133" t="s">
        <v>17</v>
      </c>
      <c r="M133">
        <v>146.69999999999999</v>
      </c>
      <c r="N133">
        <f t="shared" si="13"/>
        <v>3</v>
      </c>
      <c r="O133">
        <v>20</v>
      </c>
      <c r="P133" t="str">
        <f t="shared" si="14"/>
        <v>Yes</v>
      </c>
      <c r="Q133">
        <f>IF(Booking_Data[[#This Row],[Discounted Booking]]="Yes",1,0)</f>
        <v>1</v>
      </c>
      <c r="R133" t="s">
        <v>18</v>
      </c>
      <c r="S133">
        <f>IF(Booking_Data[[#This Row],[Cancellation Status]]="yes",1,0)</f>
        <v>1</v>
      </c>
    </row>
    <row r="134" spans="1:19" x14ac:dyDescent="0.35">
      <c r="A134" t="s">
        <v>294</v>
      </c>
      <c r="B134" t="s">
        <v>295</v>
      </c>
      <c r="C134" s="1">
        <v>45320</v>
      </c>
      <c r="D134" s="1">
        <v>45349</v>
      </c>
      <c r="E134" s="1">
        <v>45353</v>
      </c>
      <c r="F134" s="2">
        <f t="shared" si="10"/>
        <v>5</v>
      </c>
      <c r="G134" s="2" t="str">
        <f t="shared" si="11"/>
        <v>Monday</v>
      </c>
      <c r="H134" s="2" t="str">
        <f t="shared" si="12"/>
        <v>January</v>
      </c>
      <c r="I134" t="s">
        <v>14</v>
      </c>
      <c r="J134" t="s">
        <v>36</v>
      </c>
      <c r="K134" t="s">
        <v>32</v>
      </c>
      <c r="L134" t="s">
        <v>23</v>
      </c>
      <c r="M134">
        <v>1288.57</v>
      </c>
      <c r="N134">
        <f t="shared" si="13"/>
        <v>4</v>
      </c>
      <c r="O134">
        <v>10</v>
      </c>
      <c r="P134" t="str">
        <f t="shared" si="14"/>
        <v>Yes</v>
      </c>
      <c r="Q134">
        <f>IF(Booking_Data[[#This Row],[Discounted Booking]]="Yes",1,0)</f>
        <v>1</v>
      </c>
      <c r="R134" t="s">
        <v>24</v>
      </c>
      <c r="S134">
        <f>IF(Booking_Data[[#This Row],[Cancellation Status]]="yes",1,0)</f>
        <v>0</v>
      </c>
    </row>
    <row r="135" spans="1:19" x14ac:dyDescent="0.35">
      <c r="A135" t="s">
        <v>296</v>
      </c>
      <c r="B135" t="s">
        <v>297</v>
      </c>
      <c r="C135" s="1">
        <v>45321</v>
      </c>
      <c r="D135" s="1">
        <v>45344</v>
      </c>
      <c r="E135" s="1">
        <v>45351</v>
      </c>
      <c r="F135" s="2">
        <f t="shared" si="10"/>
        <v>5</v>
      </c>
      <c r="G135" s="2" t="str">
        <f t="shared" si="11"/>
        <v>Tuesday</v>
      </c>
      <c r="H135" s="2" t="str">
        <f t="shared" si="12"/>
        <v>January</v>
      </c>
      <c r="I135" t="s">
        <v>35</v>
      </c>
      <c r="J135" t="s">
        <v>15</v>
      </c>
      <c r="K135" t="s">
        <v>58</v>
      </c>
      <c r="L135" t="s">
        <v>37</v>
      </c>
      <c r="M135">
        <v>510.03</v>
      </c>
      <c r="N135">
        <f t="shared" si="13"/>
        <v>7</v>
      </c>
      <c r="O135">
        <v>5</v>
      </c>
      <c r="P135" t="str">
        <f t="shared" si="14"/>
        <v>Yes</v>
      </c>
      <c r="Q135">
        <f>IF(Booking_Data[[#This Row],[Discounted Booking]]="Yes",1,0)</f>
        <v>1</v>
      </c>
      <c r="R135" t="s">
        <v>18</v>
      </c>
      <c r="S135">
        <f>IF(Booking_Data[[#This Row],[Cancellation Status]]="yes",1,0)</f>
        <v>1</v>
      </c>
    </row>
    <row r="136" spans="1:19" x14ac:dyDescent="0.35">
      <c r="A136" t="s">
        <v>298</v>
      </c>
      <c r="B136" t="s">
        <v>299</v>
      </c>
      <c r="C136" s="1">
        <v>45321</v>
      </c>
      <c r="D136" s="1">
        <v>45345</v>
      </c>
      <c r="E136" s="1">
        <v>45349</v>
      </c>
      <c r="F136" s="2">
        <f t="shared" si="10"/>
        <v>5</v>
      </c>
      <c r="G136" s="2" t="str">
        <f t="shared" si="11"/>
        <v>Tuesday</v>
      </c>
      <c r="H136" s="2" t="str">
        <f t="shared" si="12"/>
        <v>January</v>
      </c>
      <c r="I136" t="s">
        <v>35</v>
      </c>
      <c r="J136" t="s">
        <v>21</v>
      </c>
      <c r="K136" t="s">
        <v>49</v>
      </c>
      <c r="L136" t="s">
        <v>27</v>
      </c>
      <c r="M136">
        <v>1137.07</v>
      </c>
      <c r="N136">
        <f t="shared" si="13"/>
        <v>4</v>
      </c>
      <c r="O136">
        <v>0</v>
      </c>
      <c r="P136" t="str">
        <f t="shared" si="14"/>
        <v>No</v>
      </c>
      <c r="Q136">
        <f>IF(Booking_Data[[#This Row],[Discounted Booking]]="Yes",1,0)</f>
        <v>0</v>
      </c>
      <c r="R136" t="s">
        <v>18</v>
      </c>
      <c r="S136">
        <f>IF(Booking_Data[[#This Row],[Cancellation Status]]="yes",1,0)</f>
        <v>1</v>
      </c>
    </row>
    <row r="137" spans="1:19" x14ac:dyDescent="0.35">
      <c r="A137" t="s">
        <v>300</v>
      </c>
      <c r="B137" t="s">
        <v>301</v>
      </c>
      <c r="C137" s="1">
        <v>45321</v>
      </c>
      <c r="D137" s="1">
        <v>45349</v>
      </c>
      <c r="E137" s="1">
        <v>45353</v>
      </c>
      <c r="F137" s="2">
        <f t="shared" si="10"/>
        <v>5</v>
      </c>
      <c r="G137" s="2" t="str">
        <f t="shared" si="11"/>
        <v>Tuesday</v>
      </c>
      <c r="H137" s="2" t="str">
        <f t="shared" si="12"/>
        <v>January</v>
      </c>
      <c r="I137" t="s">
        <v>35</v>
      </c>
      <c r="J137" t="s">
        <v>31</v>
      </c>
      <c r="K137" t="s">
        <v>58</v>
      </c>
      <c r="L137" t="s">
        <v>23</v>
      </c>
      <c r="M137">
        <v>189.15</v>
      </c>
      <c r="N137">
        <f t="shared" si="13"/>
        <v>4</v>
      </c>
      <c r="O137">
        <v>0</v>
      </c>
      <c r="P137" t="str">
        <f t="shared" si="14"/>
        <v>No</v>
      </c>
      <c r="Q137">
        <f>IF(Booking_Data[[#This Row],[Discounted Booking]]="Yes",1,0)</f>
        <v>0</v>
      </c>
      <c r="R137" t="s">
        <v>24</v>
      </c>
      <c r="S137">
        <f>IF(Booking_Data[[#This Row],[Cancellation Status]]="yes",1,0)</f>
        <v>0</v>
      </c>
    </row>
    <row r="138" spans="1:19" x14ac:dyDescent="0.35">
      <c r="A138" t="s">
        <v>302</v>
      </c>
      <c r="B138" t="s">
        <v>303</v>
      </c>
      <c r="C138" s="1">
        <v>45321</v>
      </c>
      <c r="D138" s="1">
        <v>45330</v>
      </c>
      <c r="E138" s="1">
        <v>45335</v>
      </c>
      <c r="F138" s="2">
        <f t="shared" si="10"/>
        <v>5</v>
      </c>
      <c r="G138" s="2" t="str">
        <f t="shared" si="11"/>
        <v>Tuesday</v>
      </c>
      <c r="H138" s="2" t="str">
        <f t="shared" si="12"/>
        <v>January</v>
      </c>
      <c r="I138" t="s">
        <v>35</v>
      </c>
      <c r="J138" t="s">
        <v>31</v>
      </c>
      <c r="K138" t="s">
        <v>42</v>
      </c>
      <c r="L138" t="s">
        <v>23</v>
      </c>
      <c r="M138">
        <v>1042.3699999999999</v>
      </c>
      <c r="N138">
        <f t="shared" si="13"/>
        <v>5</v>
      </c>
      <c r="O138">
        <v>15</v>
      </c>
      <c r="P138" t="str">
        <f t="shared" si="14"/>
        <v>Yes</v>
      </c>
      <c r="Q138">
        <f>IF(Booking_Data[[#This Row],[Discounted Booking]]="Yes",1,0)</f>
        <v>1</v>
      </c>
      <c r="R138" t="s">
        <v>18</v>
      </c>
      <c r="S138">
        <f>IF(Booking_Data[[#This Row],[Cancellation Status]]="yes",1,0)</f>
        <v>1</v>
      </c>
    </row>
    <row r="139" spans="1:19" x14ac:dyDescent="0.35">
      <c r="A139" t="s">
        <v>304</v>
      </c>
      <c r="B139" t="s">
        <v>305</v>
      </c>
      <c r="C139" s="1">
        <v>45321</v>
      </c>
      <c r="D139" s="1">
        <v>45346</v>
      </c>
      <c r="E139" s="1">
        <v>45352</v>
      </c>
      <c r="F139" s="2">
        <f t="shared" si="10"/>
        <v>5</v>
      </c>
      <c r="G139" s="2" t="str">
        <f t="shared" si="11"/>
        <v>Tuesday</v>
      </c>
      <c r="H139" s="2" t="str">
        <f t="shared" si="12"/>
        <v>January</v>
      </c>
      <c r="I139" t="s">
        <v>35</v>
      </c>
      <c r="J139" t="s">
        <v>31</v>
      </c>
      <c r="K139" t="s">
        <v>16</v>
      </c>
      <c r="L139" t="s">
        <v>23</v>
      </c>
      <c r="M139">
        <v>595.29999999999995</v>
      </c>
      <c r="N139">
        <f t="shared" si="13"/>
        <v>6</v>
      </c>
      <c r="O139">
        <v>5</v>
      </c>
      <c r="P139" t="str">
        <f t="shared" si="14"/>
        <v>Yes</v>
      </c>
      <c r="Q139">
        <f>IF(Booking_Data[[#This Row],[Discounted Booking]]="Yes",1,0)</f>
        <v>1</v>
      </c>
      <c r="R139" t="s">
        <v>18</v>
      </c>
      <c r="S139">
        <f>IF(Booking_Data[[#This Row],[Cancellation Status]]="yes",1,0)</f>
        <v>1</v>
      </c>
    </row>
    <row r="140" spans="1:19" x14ac:dyDescent="0.35">
      <c r="A140" t="s">
        <v>306</v>
      </c>
      <c r="B140" t="s">
        <v>307</v>
      </c>
      <c r="C140" s="1">
        <v>45322</v>
      </c>
      <c r="D140" s="1">
        <v>45344</v>
      </c>
      <c r="E140" s="1">
        <v>45350</v>
      </c>
      <c r="F140" s="2">
        <f t="shared" si="10"/>
        <v>5</v>
      </c>
      <c r="G140" s="2" t="str">
        <f t="shared" si="11"/>
        <v>Wednesday</v>
      </c>
      <c r="H140" s="2" t="str">
        <f t="shared" si="12"/>
        <v>January</v>
      </c>
      <c r="I140" t="s">
        <v>30</v>
      </c>
      <c r="J140" t="s">
        <v>15</v>
      </c>
      <c r="K140" t="s">
        <v>22</v>
      </c>
      <c r="L140" t="s">
        <v>23</v>
      </c>
      <c r="M140">
        <v>413.42</v>
      </c>
      <c r="N140">
        <f t="shared" si="13"/>
        <v>6</v>
      </c>
      <c r="O140">
        <v>25</v>
      </c>
      <c r="P140" t="str">
        <f t="shared" si="14"/>
        <v>Yes</v>
      </c>
      <c r="Q140">
        <f>IF(Booking_Data[[#This Row],[Discounted Booking]]="Yes",1,0)</f>
        <v>1</v>
      </c>
      <c r="R140" t="s">
        <v>18</v>
      </c>
      <c r="S140">
        <f>IF(Booking_Data[[#This Row],[Cancellation Status]]="yes",1,0)</f>
        <v>1</v>
      </c>
    </row>
    <row r="141" spans="1:19" x14ac:dyDescent="0.35">
      <c r="A141" t="s">
        <v>308</v>
      </c>
      <c r="B141" t="s">
        <v>309</v>
      </c>
      <c r="C141" s="1">
        <v>45322</v>
      </c>
      <c r="D141" s="1">
        <v>45342</v>
      </c>
      <c r="E141" s="1">
        <v>45351</v>
      </c>
      <c r="F141" s="2">
        <f t="shared" si="10"/>
        <v>5</v>
      </c>
      <c r="G141" s="2" t="str">
        <f t="shared" si="11"/>
        <v>Wednesday</v>
      </c>
      <c r="H141" s="2" t="str">
        <f t="shared" si="12"/>
        <v>January</v>
      </c>
      <c r="I141" t="s">
        <v>14</v>
      </c>
      <c r="J141" t="s">
        <v>15</v>
      </c>
      <c r="K141" t="s">
        <v>16</v>
      </c>
      <c r="L141" t="s">
        <v>23</v>
      </c>
      <c r="M141">
        <v>1178.2</v>
      </c>
      <c r="N141">
        <f t="shared" si="13"/>
        <v>9</v>
      </c>
      <c r="O141">
        <v>15</v>
      </c>
      <c r="P141" t="str">
        <f t="shared" si="14"/>
        <v>Yes</v>
      </c>
      <c r="Q141">
        <f>IF(Booking_Data[[#This Row],[Discounted Booking]]="Yes",1,0)</f>
        <v>1</v>
      </c>
      <c r="R141" t="s">
        <v>24</v>
      </c>
      <c r="S141">
        <f>IF(Booking_Data[[#This Row],[Cancellation Status]]="yes",1,0)</f>
        <v>0</v>
      </c>
    </row>
    <row r="142" spans="1:19" x14ac:dyDescent="0.35">
      <c r="A142" t="s">
        <v>310</v>
      </c>
      <c r="B142" t="s">
        <v>311</v>
      </c>
      <c r="C142" s="1">
        <v>45322</v>
      </c>
      <c r="D142" s="1">
        <v>45325</v>
      </c>
      <c r="E142" s="1">
        <v>45326</v>
      </c>
      <c r="F142" s="2">
        <f t="shared" si="10"/>
        <v>5</v>
      </c>
      <c r="G142" s="2" t="str">
        <f t="shared" si="11"/>
        <v>Wednesday</v>
      </c>
      <c r="H142" s="2" t="str">
        <f t="shared" si="12"/>
        <v>January</v>
      </c>
      <c r="I142" t="s">
        <v>30</v>
      </c>
      <c r="J142" t="s">
        <v>31</v>
      </c>
      <c r="K142" t="s">
        <v>42</v>
      </c>
      <c r="L142" t="s">
        <v>27</v>
      </c>
      <c r="M142">
        <v>645.33000000000004</v>
      </c>
      <c r="N142">
        <f t="shared" si="13"/>
        <v>1</v>
      </c>
      <c r="O142">
        <v>15</v>
      </c>
      <c r="P142" t="str">
        <f t="shared" si="14"/>
        <v>Yes</v>
      </c>
      <c r="Q142">
        <f>IF(Booking_Data[[#This Row],[Discounted Booking]]="Yes",1,0)</f>
        <v>1</v>
      </c>
      <c r="R142" t="s">
        <v>18</v>
      </c>
      <c r="S142">
        <f>IF(Booking_Data[[#This Row],[Cancellation Status]]="yes",1,0)</f>
        <v>1</v>
      </c>
    </row>
    <row r="143" spans="1:19" x14ac:dyDescent="0.35">
      <c r="A143" t="s">
        <v>312</v>
      </c>
      <c r="B143" t="s">
        <v>313</v>
      </c>
      <c r="C143" s="1">
        <v>45322</v>
      </c>
      <c r="D143" s="1">
        <v>45349</v>
      </c>
      <c r="E143" s="1">
        <v>45357</v>
      </c>
      <c r="F143" s="2">
        <f t="shared" si="10"/>
        <v>5</v>
      </c>
      <c r="G143" s="2" t="str">
        <f t="shared" si="11"/>
        <v>Wednesday</v>
      </c>
      <c r="H143" s="2" t="str">
        <f t="shared" si="12"/>
        <v>January</v>
      </c>
      <c r="I143" t="s">
        <v>30</v>
      </c>
      <c r="J143" t="s">
        <v>36</v>
      </c>
      <c r="K143" t="s">
        <v>58</v>
      </c>
      <c r="L143" t="s">
        <v>23</v>
      </c>
      <c r="M143">
        <v>633.85</v>
      </c>
      <c r="N143">
        <f t="shared" si="13"/>
        <v>8</v>
      </c>
      <c r="O143">
        <v>15</v>
      </c>
      <c r="P143" t="str">
        <f t="shared" si="14"/>
        <v>Yes</v>
      </c>
      <c r="Q143">
        <f>IF(Booking_Data[[#This Row],[Discounted Booking]]="Yes",1,0)</f>
        <v>1</v>
      </c>
      <c r="R143" t="s">
        <v>24</v>
      </c>
      <c r="S143">
        <f>IF(Booking_Data[[#This Row],[Cancellation Status]]="yes",1,0)</f>
        <v>0</v>
      </c>
    </row>
    <row r="144" spans="1:19" x14ac:dyDescent="0.35">
      <c r="A144" t="s">
        <v>314</v>
      </c>
      <c r="B144" t="s">
        <v>315</v>
      </c>
      <c r="C144" s="1">
        <v>45322</v>
      </c>
      <c r="D144" s="1">
        <v>45331</v>
      </c>
      <c r="E144" s="1">
        <v>45339</v>
      </c>
      <c r="F144" s="2">
        <f t="shared" si="10"/>
        <v>5</v>
      </c>
      <c r="G144" s="2" t="str">
        <f t="shared" si="11"/>
        <v>Wednesday</v>
      </c>
      <c r="H144" s="2" t="str">
        <f t="shared" si="12"/>
        <v>January</v>
      </c>
      <c r="I144" t="s">
        <v>30</v>
      </c>
      <c r="J144" t="s">
        <v>15</v>
      </c>
      <c r="K144" t="s">
        <v>22</v>
      </c>
      <c r="L144" t="s">
        <v>37</v>
      </c>
      <c r="M144">
        <v>902.6</v>
      </c>
      <c r="N144">
        <f t="shared" si="13"/>
        <v>8</v>
      </c>
      <c r="O144">
        <v>10</v>
      </c>
      <c r="P144" t="str">
        <f t="shared" si="14"/>
        <v>Yes</v>
      </c>
      <c r="Q144">
        <f>IF(Booking_Data[[#This Row],[Discounted Booking]]="Yes",1,0)</f>
        <v>1</v>
      </c>
      <c r="R144" t="s">
        <v>18</v>
      </c>
      <c r="S144">
        <f>IF(Booking_Data[[#This Row],[Cancellation Status]]="yes",1,0)</f>
        <v>1</v>
      </c>
    </row>
    <row r="145" spans="1:19" x14ac:dyDescent="0.35">
      <c r="A145" t="s">
        <v>316</v>
      </c>
      <c r="B145" t="s">
        <v>317</v>
      </c>
      <c r="C145" s="1">
        <v>45322</v>
      </c>
      <c r="D145" s="1">
        <v>45345</v>
      </c>
      <c r="E145" s="1">
        <v>45350</v>
      </c>
      <c r="F145" s="2">
        <f t="shared" si="10"/>
        <v>5</v>
      </c>
      <c r="G145" s="2" t="str">
        <f t="shared" si="11"/>
        <v>Wednesday</v>
      </c>
      <c r="H145" s="2" t="str">
        <f t="shared" si="12"/>
        <v>January</v>
      </c>
      <c r="I145" t="s">
        <v>35</v>
      </c>
      <c r="J145" t="s">
        <v>31</v>
      </c>
      <c r="K145" t="s">
        <v>16</v>
      </c>
      <c r="L145" t="s">
        <v>27</v>
      </c>
      <c r="M145">
        <v>759.58</v>
      </c>
      <c r="N145">
        <f t="shared" si="13"/>
        <v>5</v>
      </c>
      <c r="O145">
        <v>20</v>
      </c>
      <c r="P145" t="str">
        <f t="shared" si="14"/>
        <v>Yes</v>
      </c>
      <c r="Q145">
        <f>IF(Booking_Data[[#This Row],[Discounted Booking]]="Yes",1,0)</f>
        <v>1</v>
      </c>
      <c r="R145" t="s">
        <v>18</v>
      </c>
      <c r="S145">
        <f>IF(Booking_Data[[#This Row],[Cancellation Status]]="yes",1,0)</f>
        <v>1</v>
      </c>
    </row>
    <row r="146" spans="1:19" x14ac:dyDescent="0.35">
      <c r="A146" t="s">
        <v>318</v>
      </c>
      <c r="B146" t="s">
        <v>319</v>
      </c>
      <c r="C146" s="1">
        <v>45322</v>
      </c>
      <c r="D146" s="1">
        <v>45342</v>
      </c>
      <c r="E146" s="1">
        <v>45348</v>
      </c>
      <c r="F146" s="2">
        <f t="shared" si="10"/>
        <v>5</v>
      </c>
      <c r="G146" s="2" t="str">
        <f t="shared" si="11"/>
        <v>Wednesday</v>
      </c>
      <c r="H146" s="2" t="str">
        <f t="shared" si="12"/>
        <v>January</v>
      </c>
      <c r="I146" t="s">
        <v>30</v>
      </c>
      <c r="J146" t="s">
        <v>15</v>
      </c>
      <c r="K146" t="s">
        <v>22</v>
      </c>
      <c r="L146" t="s">
        <v>37</v>
      </c>
      <c r="M146">
        <v>1404.69</v>
      </c>
      <c r="N146">
        <f t="shared" si="13"/>
        <v>6</v>
      </c>
      <c r="O146">
        <v>5</v>
      </c>
      <c r="P146" t="str">
        <f t="shared" si="14"/>
        <v>Yes</v>
      </c>
      <c r="Q146">
        <f>IF(Booking_Data[[#This Row],[Discounted Booking]]="Yes",1,0)</f>
        <v>1</v>
      </c>
      <c r="R146" t="s">
        <v>18</v>
      </c>
      <c r="S146">
        <f>IF(Booking_Data[[#This Row],[Cancellation Status]]="yes",1,0)</f>
        <v>1</v>
      </c>
    </row>
    <row r="147" spans="1:19" x14ac:dyDescent="0.35">
      <c r="A147" t="s">
        <v>320</v>
      </c>
      <c r="B147" t="s">
        <v>321</v>
      </c>
      <c r="C147" s="1">
        <v>45322</v>
      </c>
      <c r="D147" s="1">
        <v>45335</v>
      </c>
      <c r="E147" s="1">
        <v>45344</v>
      </c>
      <c r="F147" s="2">
        <f t="shared" si="10"/>
        <v>5</v>
      </c>
      <c r="G147" s="2" t="str">
        <f t="shared" si="11"/>
        <v>Wednesday</v>
      </c>
      <c r="H147" s="2" t="str">
        <f t="shared" si="12"/>
        <v>January</v>
      </c>
      <c r="I147" t="s">
        <v>35</v>
      </c>
      <c r="J147" t="s">
        <v>36</v>
      </c>
      <c r="K147" t="s">
        <v>16</v>
      </c>
      <c r="L147" t="s">
        <v>17</v>
      </c>
      <c r="M147">
        <v>613.37</v>
      </c>
      <c r="N147">
        <f t="shared" si="13"/>
        <v>9</v>
      </c>
      <c r="O147">
        <v>5</v>
      </c>
      <c r="P147" t="str">
        <f t="shared" si="14"/>
        <v>Yes</v>
      </c>
      <c r="Q147">
        <f>IF(Booking_Data[[#This Row],[Discounted Booking]]="Yes",1,0)</f>
        <v>1</v>
      </c>
      <c r="R147" t="s">
        <v>24</v>
      </c>
      <c r="S147">
        <f>IF(Booking_Data[[#This Row],[Cancellation Status]]="yes",1,0)</f>
        <v>0</v>
      </c>
    </row>
    <row r="148" spans="1:19" x14ac:dyDescent="0.35">
      <c r="A148" t="s">
        <v>322</v>
      </c>
      <c r="B148" t="s">
        <v>323</v>
      </c>
      <c r="C148" s="1">
        <v>45323</v>
      </c>
      <c r="D148" s="1">
        <v>45341</v>
      </c>
      <c r="E148" s="1">
        <v>45343</v>
      </c>
      <c r="F148" s="2">
        <f t="shared" si="10"/>
        <v>1</v>
      </c>
      <c r="G148" s="2" t="str">
        <f t="shared" si="11"/>
        <v>Thursday</v>
      </c>
      <c r="H148" s="2" t="str">
        <f t="shared" si="12"/>
        <v>February</v>
      </c>
      <c r="I148" t="s">
        <v>30</v>
      </c>
      <c r="J148" t="s">
        <v>15</v>
      </c>
      <c r="K148" t="s">
        <v>22</v>
      </c>
      <c r="L148" t="s">
        <v>37</v>
      </c>
      <c r="M148">
        <v>1369.05</v>
      </c>
      <c r="N148">
        <f t="shared" si="13"/>
        <v>2</v>
      </c>
      <c r="O148">
        <v>20</v>
      </c>
      <c r="P148" t="str">
        <f t="shared" si="14"/>
        <v>Yes</v>
      </c>
      <c r="Q148">
        <f>IF(Booking_Data[[#This Row],[Discounted Booking]]="Yes",1,0)</f>
        <v>1</v>
      </c>
      <c r="R148" t="s">
        <v>18</v>
      </c>
      <c r="S148">
        <f>IF(Booking_Data[[#This Row],[Cancellation Status]]="yes",1,0)</f>
        <v>1</v>
      </c>
    </row>
    <row r="149" spans="1:19" x14ac:dyDescent="0.35">
      <c r="A149" t="s">
        <v>324</v>
      </c>
      <c r="B149" t="s">
        <v>325</v>
      </c>
      <c r="C149" s="1">
        <v>45323</v>
      </c>
      <c r="D149" s="1">
        <v>45336</v>
      </c>
      <c r="E149" s="1">
        <v>45345</v>
      </c>
      <c r="F149" s="2">
        <f t="shared" si="10"/>
        <v>1</v>
      </c>
      <c r="G149" s="2" t="str">
        <f t="shared" si="11"/>
        <v>Thursday</v>
      </c>
      <c r="H149" s="2" t="str">
        <f t="shared" si="12"/>
        <v>February</v>
      </c>
      <c r="I149" t="s">
        <v>14</v>
      </c>
      <c r="J149" t="s">
        <v>31</v>
      </c>
      <c r="K149" t="s">
        <v>32</v>
      </c>
      <c r="L149" t="s">
        <v>37</v>
      </c>
      <c r="M149">
        <v>549.1</v>
      </c>
      <c r="N149">
        <f t="shared" si="13"/>
        <v>9</v>
      </c>
      <c r="O149">
        <v>10</v>
      </c>
      <c r="P149" t="str">
        <f t="shared" si="14"/>
        <v>Yes</v>
      </c>
      <c r="Q149">
        <f>IF(Booking_Data[[#This Row],[Discounted Booking]]="Yes",1,0)</f>
        <v>1</v>
      </c>
      <c r="R149" t="s">
        <v>24</v>
      </c>
      <c r="S149">
        <f>IF(Booking_Data[[#This Row],[Cancellation Status]]="yes",1,0)</f>
        <v>0</v>
      </c>
    </row>
    <row r="150" spans="1:19" x14ac:dyDescent="0.35">
      <c r="A150" t="s">
        <v>326</v>
      </c>
      <c r="B150" t="s">
        <v>327</v>
      </c>
      <c r="C150" s="1">
        <v>45323</v>
      </c>
      <c r="D150" s="1">
        <v>45352</v>
      </c>
      <c r="E150" s="1">
        <v>45360</v>
      </c>
      <c r="F150" s="2">
        <f t="shared" si="10"/>
        <v>1</v>
      </c>
      <c r="G150" s="2" t="str">
        <f t="shared" si="11"/>
        <v>Thursday</v>
      </c>
      <c r="H150" s="2" t="str">
        <f t="shared" si="12"/>
        <v>February</v>
      </c>
      <c r="I150" t="s">
        <v>35</v>
      </c>
      <c r="J150" t="s">
        <v>21</v>
      </c>
      <c r="K150" t="s">
        <v>49</v>
      </c>
      <c r="L150" t="s">
        <v>37</v>
      </c>
      <c r="M150">
        <v>728.04</v>
      </c>
      <c r="N150">
        <f t="shared" si="13"/>
        <v>8</v>
      </c>
      <c r="O150">
        <v>15</v>
      </c>
      <c r="P150" t="str">
        <f t="shared" si="14"/>
        <v>Yes</v>
      </c>
      <c r="Q150">
        <f>IF(Booking_Data[[#This Row],[Discounted Booking]]="Yes",1,0)</f>
        <v>1</v>
      </c>
      <c r="R150" t="s">
        <v>24</v>
      </c>
      <c r="S150">
        <f>IF(Booking_Data[[#This Row],[Cancellation Status]]="yes",1,0)</f>
        <v>0</v>
      </c>
    </row>
    <row r="151" spans="1:19" x14ac:dyDescent="0.35">
      <c r="A151" t="s">
        <v>328</v>
      </c>
      <c r="B151" t="s">
        <v>329</v>
      </c>
      <c r="C151" s="1">
        <v>45323</v>
      </c>
      <c r="D151" s="1">
        <v>45347</v>
      </c>
      <c r="E151" s="1">
        <v>45349</v>
      </c>
      <c r="F151" s="2">
        <f t="shared" si="10"/>
        <v>1</v>
      </c>
      <c r="G151" s="2" t="str">
        <f t="shared" si="11"/>
        <v>Thursday</v>
      </c>
      <c r="H151" s="2" t="str">
        <f t="shared" si="12"/>
        <v>February</v>
      </c>
      <c r="I151" t="s">
        <v>30</v>
      </c>
      <c r="J151" t="s">
        <v>36</v>
      </c>
      <c r="K151" t="s">
        <v>22</v>
      </c>
      <c r="L151" t="s">
        <v>27</v>
      </c>
      <c r="M151">
        <v>119.82</v>
      </c>
      <c r="N151">
        <f t="shared" si="13"/>
        <v>2</v>
      </c>
      <c r="O151">
        <v>15</v>
      </c>
      <c r="P151" t="str">
        <f t="shared" si="14"/>
        <v>Yes</v>
      </c>
      <c r="Q151">
        <f>IF(Booking_Data[[#This Row],[Discounted Booking]]="Yes",1,0)</f>
        <v>1</v>
      </c>
      <c r="R151" t="s">
        <v>24</v>
      </c>
      <c r="S151">
        <f>IF(Booking_Data[[#This Row],[Cancellation Status]]="yes",1,0)</f>
        <v>0</v>
      </c>
    </row>
    <row r="152" spans="1:19" x14ac:dyDescent="0.35">
      <c r="A152" t="s">
        <v>330</v>
      </c>
      <c r="B152" t="s">
        <v>331</v>
      </c>
      <c r="C152" s="1">
        <v>45323</v>
      </c>
      <c r="D152" s="1">
        <v>45327</v>
      </c>
      <c r="E152" s="1">
        <v>45331</v>
      </c>
      <c r="F152" s="2">
        <f t="shared" si="10"/>
        <v>1</v>
      </c>
      <c r="G152" s="2" t="str">
        <f t="shared" si="11"/>
        <v>Thursday</v>
      </c>
      <c r="H152" s="2" t="str">
        <f t="shared" si="12"/>
        <v>February</v>
      </c>
      <c r="I152" t="s">
        <v>35</v>
      </c>
      <c r="J152" t="s">
        <v>31</v>
      </c>
      <c r="K152" t="s">
        <v>16</v>
      </c>
      <c r="L152" t="s">
        <v>23</v>
      </c>
      <c r="M152">
        <v>290.5</v>
      </c>
      <c r="N152">
        <f t="shared" si="13"/>
        <v>4</v>
      </c>
      <c r="O152">
        <v>20</v>
      </c>
      <c r="P152" t="str">
        <f t="shared" si="14"/>
        <v>Yes</v>
      </c>
      <c r="Q152">
        <f>IF(Booking_Data[[#This Row],[Discounted Booking]]="Yes",1,0)</f>
        <v>1</v>
      </c>
      <c r="R152" t="s">
        <v>18</v>
      </c>
      <c r="S152">
        <f>IF(Booking_Data[[#This Row],[Cancellation Status]]="yes",1,0)</f>
        <v>1</v>
      </c>
    </row>
    <row r="153" spans="1:19" x14ac:dyDescent="0.35">
      <c r="A153" t="s">
        <v>332</v>
      </c>
      <c r="B153" t="s">
        <v>333</v>
      </c>
      <c r="C153" s="1">
        <v>45323</v>
      </c>
      <c r="D153" s="1">
        <v>45352</v>
      </c>
      <c r="E153" s="1">
        <v>45358</v>
      </c>
      <c r="F153" s="2">
        <f t="shared" si="10"/>
        <v>1</v>
      </c>
      <c r="G153" s="2" t="str">
        <f t="shared" si="11"/>
        <v>Thursday</v>
      </c>
      <c r="H153" s="2" t="str">
        <f t="shared" si="12"/>
        <v>February</v>
      </c>
      <c r="I153" t="s">
        <v>35</v>
      </c>
      <c r="J153" t="s">
        <v>15</v>
      </c>
      <c r="K153" t="s">
        <v>16</v>
      </c>
      <c r="L153" t="s">
        <v>17</v>
      </c>
      <c r="M153">
        <v>1482.83</v>
      </c>
      <c r="N153">
        <f t="shared" si="13"/>
        <v>6</v>
      </c>
      <c r="O153">
        <v>25</v>
      </c>
      <c r="P153" t="str">
        <f t="shared" si="14"/>
        <v>Yes</v>
      </c>
      <c r="Q153">
        <f>IF(Booking_Data[[#This Row],[Discounted Booking]]="Yes",1,0)</f>
        <v>1</v>
      </c>
      <c r="R153" t="s">
        <v>24</v>
      </c>
      <c r="S153">
        <f>IF(Booking_Data[[#This Row],[Cancellation Status]]="yes",1,0)</f>
        <v>0</v>
      </c>
    </row>
    <row r="154" spans="1:19" x14ac:dyDescent="0.35">
      <c r="A154" t="s">
        <v>334</v>
      </c>
      <c r="B154" t="s">
        <v>335</v>
      </c>
      <c r="C154" s="1">
        <v>45323</v>
      </c>
      <c r="D154" s="1">
        <v>45348</v>
      </c>
      <c r="E154" s="1">
        <v>45354</v>
      </c>
      <c r="F154" s="2">
        <f t="shared" si="10"/>
        <v>1</v>
      </c>
      <c r="G154" s="2" t="str">
        <f t="shared" si="11"/>
        <v>Thursday</v>
      </c>
      <c r="H154" s="2" t="str">
        <f t="shared" si="12"/>
        <v>February</v>
      </c>
      <c r="I154" t="s">
        <v>14</v>
      </c>
      <c r="J154" t="s">
        <v>31</v>
      </c>
      <c r="K154" t="s">
        <v>16</v>
      </c>
      <c r="L154" t="s">
        <v>17</v>
      </c>
      <c r="M154">
        <v>886.71</v>
      </c>
      <c r="N154">
        <f t="shared" si="13"/>
        <v>6</v>
      </c>
      <c r="O154">
        <v>20</v>
      </c>
      <c r="P154" t="str">
        <f t="shared" si="14"/>
        <v>Yes</v>
      </c>
      <c r="Q154">
        <f>IF(Booking_Data[[#This Row],[Discounted Booking]]="Yes",1,0)</f>
        <v>1</v>
      </c>
      <c r="R154" t="s">
        <v>24</v>
      </c>
      <c r="S154">
        <f>IF(Booking_Data[[#This Row],[Cancellation Status]]="yes",1,0)</f>
        <v>0</v>
      </c>
    </row>
    <row r="155" spans="1:19" x14ac:dyDescent="0.35">
      <c r="A155" t="s">
        <v>336</v>
      </c>
      <c r="B155" t="s">
        <v>337</v>
      </c>
      <c r="C155" s="1">
        <v>45324</v>
      </c>
      <c r="D155" s="1">
        <v>45351</v>
      </c>
      <c r="E155" s="1">
        <v>45357</v>
      </c>
      <c r="F155" s="2">
        <f t="shared" si="10"/>
        <v>1</v>
      </c>
      <c r="G155" s="2" t="str">
        <f t="shared" si="11"/>
        <v>Friday</v>
      </c>
      <c r="H155" s="2" t="str">
        <f t="shared" si="12"/>
        <v>February</v>
      </c>
      <c r="I155" t="s">
        <v>35</v>
      </c>
      <c r="J155" t="s">
        <v>21</v>
      </c>
      <c r="K155" t="s">
        <v>16</v>
      </c>
      <c r="L155" t="s">
        <v>17</v>
      </c>
      <c r="M155">
        <v>1465.74</v>
      </c>
      <c r="N155">
        <f t="shared" si="13"/>
        <v>6</v>
      </c>
      <c r="O155">
        <v>5</v>
      </c>
      <c r="P155" t="str">
        <f t="shared" si="14"/>
        <v>Yes</v>
      </c>
      <c r="Q155">
        <f>IF(Booking_Data[[#This Row],[Discounted Booking]]="Yes",1,0)</f>
        <v>1</v>
      </c>
      <c r="R155" t="s">
        <v>24</v>
      </c>
      <c r="S155">
        <f>IF(Booking_Data[[#This Row],[Cancellation Status]]="yes",1,0)</f>
        <v>0</v>
      </c>
    </row>
    <row r="156" spans="1:19" x14ac:dyDescent="0.35">
      <c r="A156" t="s">
        <v>338</v>
      </c>
      <c r="B156" t="s">
        <v>339</v>
      </c>
      <c r="C156" s="1">
        <v>45324</v>
      </c>
      <c r="D156" s="1">
        <v>45325</v>
      </c>
      <c r="E156" s="1">
        <v>45329</v>
      </c>
      <c r="F156" s="2">
        <f t="shared" si="10"/>
        <v>1</v>
      </c>
      <c r="G156" s="2" t="str">
        <f t="shared" si="11"/>
        <v>Friday</v>
      </c>
      <c r="H156" s="2" t="str">
        <f t="shared" si="12"/>
        <v>February</v>
      </c>
      <c r="I156" t="s">
        <v>35</v>
      </c>
      <c r="J156" t="s">
        <v>21</v>
      </c>
      <c r="K156" t="s">
        <v>32</v>
      </c>
      <c r="L156" t="s">
        <v>23</v>
      </c>
      <c r="M156">
        <v>1091.1500000000001</v>
      </c>
      <c r="N156">
        <f t="shared" si="13"/>
        <v>4</v>
      </c>
      <c r="O156">
        <v>20</v>
      </c>
      <c r="P156" t="str">
        <f t="shared" si="14"/>
        <v>Yes</v>
      </c>
      <c r="Q156">
        <f>IF(Booking_Data[[#This Row],[Discounted Booking]]="Yes",1,0)</f>
        <v>1</v>
      </c>
      <c r="R156" t="s">
        <v>24</v>
      </c>
      <c r="S156">
        <f>IF(Booking_Data[[#This Row],[Cancellation Status]]="yes",1,0)</f>
        <v>0</v>
      </c>
    </row>
    <row r="157" spans="1:19" x14ac:dyDescent="0.35">
      <c r="A157" t="s">
        <v>340</v>
      </c>
      <c r="B157" t="s">
        <v>341</v>
      </c>
      <c r="C157" s="1">
        <v>45324</v>
      </c>
      <c r="D157" s="1">
        <v>45327</v>
      </c>
      <c r="E157" s="1">
        <v>45329</v>
      </c>
      <c r="F157" s="2">
        <f t="shared" si="10"/>
        <v>1</v>
      </c>
      <c r="G157" s="2" t="str">
        <f t="shared" si="11"/>
        <v>Friday</v>
      </c>
      <c r="H157" s="2" t="str">
        <f t="shared" si="12"/>
        <v>February</v>
      </c>
      <c r="I157" t="s">
        <v>14</v>
      </c>
      <c r="J157" t="s">
        <v>21</v>
      </c>
      <c r="K157" t="s">
        <v>22</v>
      </c>
      <c r="L157" t="s">
        <v>17</v>
      </c>
      <c r="M157">
        <v>1315.11</v>
      </c>
      <c r="N157">
        <f t="shared" si="13"/>
        <v>2</v>
      </c>
      <c r="O157">
        <v>15</v>
      </c>
      <c r="P157" t="str">
        <f t="shared" si="14"/>
        <v>Yes</v>
      </c>
      <c r="Q157">
        <f>IF(Booking_Data[[#This Row],[Discounted Booking]]="Yes",1,0)</f>
        <v>1</v>
      </c>
      <c r="R157" t="s">
        <v>24</v>
      </c>
      <c r="S157">
        <f>IF(Booking_Data[[#This Row],[Cancellation Status]]="yes",1,0)</f>
        <v>0</v>
      </c>
    </row>
    <row r="158" spans="1:19" x14ac:dyDescent="0.35">
      <c r="A158" t="s">
        <v>342</v>
      </c>
      <c r="B158" t="s">
        <v>343</v>
      </c>
      <c r="C158" s="1">
        <v>45324</v>
      </c>
      <c r="D158" s="1">
        <v>45345</v>
      </c>
      <c r="E158" s="1">
        <v>45350</v>
      </c>
      <c r="F158" s="2">
        <f t="shared" si="10"/>
        <v>1</v>
      </c>
      <c r="G158" s="2" t="str">
        <f t="shared" si="11"/>
        <v>Friday</v>
      </c>
      <c r="H158" s="2" t="str">
        <f t="shared" si="12"/>
        <v>February</v>
      </c>
      <c r="I158" t="s">
        <v>35</v>
      </c>
      <c r="J158" t="s">
        <v>21</v>
      </c>
      <c r="K158" t="s">
        <v>16</v>
      </c>
      <c r="L158" t="s">
        <v>23</v>
      </c>
      <c r="M158">
        <v>466.08</v>
      </c>
      <c r="N158">
        <f t="shared" si="13"/>
        <v>5</v>
      </c>
      <c r="O158">
        <v>5</v>
      </c>
      <c r="P158" t="str">
        <f t="shared" si="14"/>
        <v>Yes</v>
      </c>
      <c r="Q158">
        <f>IF(Booking_Data[[#This Row],[Discounted Booking]]="Yes",1,0)</f>
        <v>1</v>
      </c>
      <c r="R158" t="s">
        <v>24</v>
      </c>
      <c r="S158">
        <f>IF(Booking_Data[[#This Row],[Cancellation Status]]="yes",1,0)</f>
        <v>0</v>
      </c>
    </row>
    <row r="159" spans="1:19" x14ac:dyDescent="0.35">
      <c r="A159" t="s">
        <v>344</v>
      </c>
      <c r="B159" t="s">
        <v>345</v>
      </c>
      <c r="C159" s="1">
        <v>45324</v>
      </c>
      <c r="D159" s="1">
        <v>45344</v>
      </c>
      <c r="E159" s="1">
        <v>45350</v>
      </c>
      <c r="F159" s="2">
        <f t="shared" si="10"/>
        <v>1</v>
      </c>
      <c r="G159" s="2" t="str">
        <f t="shared" si="11"/>
        <v>Friday</v>
      </c>
      <c r="H159" s="2" t="str">
        <f t="shared" si="12"/>
        <v>February</v>
      </c>
      <c r="I159" t="s">
        <v>30</v>
      </c>
      <c r="J159" t="s">
        <v>21</v>
      </c>
      <c r="K159" t="s">
        <v>32</v>
      </c>
      <c r="L159" t="s">
        <v>27</v>
      </c>
      <c r="M159">
        <v>1239.6300000000001</v>
      </c>
      <c r="N159">
        <f t="shared" si="13"/>
        <v>6</v>
      </c>
      <c r="O159">
        <v>10</v>
      </c>
      <c r="P159" t="str">
        <f t="shared" si="14"/>
        <v>Yes</v>
      </c>
      <c r="Q159">
        <f>IF(Booking_Data[[#This Row],[Discounted Booking]]="Yes",1,0)</f>
        <v>1</v>
      </c>
      <c r="R159" t="s">
        <v>24</v>
      </c>
      <c r="S159">
        <f>IF(Booking_Data[[#This Row],[Cancellation Status]]="yes",1,0)</f>
        <v>0</v>
      </c>
    </row>
    <row r="160" spans="1:19" x14ac:dyDescent="0.35">
      <c r="A160" t="s">
        <v>346</v>
      </c>
      <c r="B160" t="s">
        <v>347</v>
      </c>
      <c r="C160" s="1">
        <v>45324</v>
      </c>
      <c r="D160" s="1">
        <v>45352</v>
      </c>
      <c r="E160" s="1">
        <v>45358</v>
      </c>
      <c r="F160" s="2">
        <f t="shared" si="10"/>
        <v>1</v>
      </c>
      <c r="G160" s="2" t="str">
        <f t="shared" si="11"/>
        <v>Friday</v>
      </c>
      <c r="H160" s="2" t="str">
        <f t="shared" si="12"/>
        <v>February</v>
      </c>
      <c r="I160" t="s">
        <v>30</v>
      </c>
      <c r="J160" t="s">
        <v>31</v>
      </c>
      <c r="K160" t="s">
        <v>32</v>
      </c>
      <c r="L160" t="s">
        <v>17</v>
      </c>
      <c r="M160">
        <v>1020.14</v>
      </c>
      <c r="N160">
        <f t="shared" si="13"/>
        <v>6</v>
      </c>
      <c r="O160">
        <v>20</v>
      </c>
      <c r="P160" t="str">
        <f t="shared" si="14"/>
        <v>Yes</v>
      </c>
      <c r="Q160">
        <f>IF(Booking_Data[[#This Row],[Discounted Booking]]="Yes",1,0)</f>
        <v>1</v>
      </c>
      <c r="R160" t="s">
        <v>24</v>
      </c>
      <c r="S160">
        <f>IF(Booking_Data[[#This Row],[Cancellation Status]]="yes",1,0)</f>
        <v>0</v>
      </c>
    </row>
    <row r="161" spans="1:19" x14ac:dyDescent="0.35">
      <c r="A161" t="s">
        <v>348</v>
      </c>
      <c r="B161" t="s">
        <v>349</v>
      </c>
      <c r="C161" s="1">
        <v>45324</v>
      </c>
      <c r="D161" s="1">
        <v>45326</v>
      </c>
      <c r="E161" s="1">
        <v>45334</v>
      </c>
      <c r="F161" s="2">
        <f t="shared" si="10"/>
        <v>1</v>
      </c>
      <c r="G161" s="2" t="str">
        <f t="shared" si="11"/>
        <v>Friday</v>
      </c>
      <c r="H161" s="2" t="str">
        <f t="shared" si="12"/>
        <v>February</v>
      </c>
      <c r="I161" t="s">
        <v>35</v>
      </c>
      <c r="J161" t="s">
        <v>21</v>
      </c>
      <c r="K161" t="s">
        <v>49</v>
      </c>
      <c r="L161" t="s">
        <v>23</v>
      </c>
      <c r="M161">
        <v>554.23</v>
      </c>
      <c r="N161">
        <f t="shared" si="13"/>
        <v>8</v>
      </c>
      <c r="O161">
        <v>25</v>
      </c>
      <c r="P161" t="str">
        <f t="shared" si="14"/>
        <v>Yes</v>
      </c>
      <c r="Q161">
        <f>IF(Booking_Data[[#This Row],[Discounted Booking]]="Yes",1,0)</f>
        <v>1</v>
      </c>
      <c r="R161" t="s">
        <v>18</v>
      </c>
      <c r="S161">
        <f>IF(Booking_Data[[#This Row],[Cancellation Status]]="yes",1,0)</f>
        <v>1</v>
      </c>
    </row>
    <row r="162" spans="1:19" x14ac:dyDescent="0.35">
      <c r="A162" t="s">
        <v>350</v>
      </c>
      <c r="B162" t="s">
        <v>351</v>
      </c>
      <c r="C162" s="1">
        <v>45325</v>
      </c>
      <c r="D162" s="1">
        <v>45350</v>
      </c>
      <c r="E162" s="1">
        <v>45353</v>
      </c>
      <c r="F162" s="2">
        <f t="shared" si="10"/>
        <v>1</v>
      </c>
      <c r="G162" s="2" t="str">
        <f t="shared" si="11"/>
        <v>Saturday</v>
      </c>
      <c r="H162" s="2" t="str">
        <f t="shared" si="12"/>
        <v>February</v>
      </c>
      <c r="I162" t="s">
        <v>14</v>
      </c>
      <c r="J162" t="s">
        <v>21</v>
      </c>
      <c r="K162" t="s">
        <v>49</v>
      </c>
      <c r="L162" t="s">
        <v>17</v>
      </c>
      <c r="M162">
        <v>776.77</v>
      </c>
      <c r="N162">
        <f t="shared" si="13"/>
        <v>3</v>
      </c>
      <c r="O162">
        <v>0</v>
      </c>
      <c r="P162" t="str">
        <f t="shared" si="14"/>
        <v>No</v>
      </c>
      <c r="Q162">
        <f>IF(Booking_Data[[#This Row],[Discounted Booking]]="Yes",1,0)</f>
        <v>0</v>
      </c>
      <c r="R162" t="s">
        <v>24</v>
      </c>
      <c r="S162">
        <f>IF(Booking_Data[[#This Row],[Cancellation Status]]="yes",1,0)</f>
        <v>0</v>
      </c>
    </row>
    <row r="163" spans="1:19" x14ac:dyDescent="0.35">
      <c r="A163" t="s">
        <v>352</v>
      </c>
      <c r="B163" t="s">
        <v>353</v>
      </c>
      <c r="C163" s="1">
        <v>45325</v>
      </c>
      <c r="D163" s="1">
        <v>45331</v>
      </c>
      <c r="E163" s="1">
        <v>45336</v>
      </c>
      <c r="F163" s="2">
        <f t="shared" si="10"/>
        <v>1</v>
      </c>
      <c r="G163" s="2" t="str">
        <f t="shared" si="11"/>
        <v>Saturday</v>
      </c>
      <c r="H163" s="2" t="str">
        <f t="shared" si="12"/>
        <v>February</v>
      </c>
      <c r="I163" t="s">
        <v>30</v>
      </c>
      <c r="J163" t="s">
        <v>21</v>
      </c>
      <c r="K163" t="s">
        <v>22</v>
      </c>
      <c r="L163" t="s">
        <v>23</v>
      </c>
      <c r="M163">
        <v>1404.46</v>
      </c>
      <c r="N163">
        <f t="shared" si="13"/>
        <v>5</v>
      </c>
      <c r="O163">
        <v>25</v>
      </c>
      <c r="P163" t="str">
        <f t="shared" si="14"/>
        <v>Yes</v>
      </c>
      <c r="Q163">
        <f>IF(Booking_Data[[#This Row],[Discounted Booking]]="Yes",1,0)</f>
        <v>1</v>
      </c>
      <c r="R163" t="s">
        <v>18</v>
      </c>
      <c r="S163">
        <f>IF(Booking_Data[[#This Row],[Cancellation Status]]="yes",1,0)</f>
        <v>1</v>
      </c>
    </row>
    <row r="164" spans="1:19" x14ac:dyDescent="0.35">
      <c r="A164" t="s">
        <v>354</v>
      </c>
      <c r="B164" t="s">
        <v>355</v>
      </c>
      <c r="C164" s="1">
        <v>45325</v>
      </c>
      <c r="D164" s="1">
        <v>45340</v>
      </c>
      <c r="E164" s="1">
        <v>45349</v>
      </c>
      <c r="F164" s="2">
        <f t="shared" si="10"/>
        <v>1</v>
      </c>
      <c r="G164" s="2" t="str">
        <f t="shared" si="11"/>
        <v>Saturday</v>
      </c>
      <c r="H164" s="2" t="str">
        <f t="shared" si="12"/>
        <v>February</v>
      </c>
      <c r="I164" t="s">
        <v>30</v>
      </c>
      <c r="J164" t="s">
        <v>36</v>
      </c>
      <c r="K164" t="s">
        <v>49</v>
      </c>
      <c r="L164" t="s">
        <v>23</v>
      </c>
      <c r="M164">
        <v>537.25</v>
      </c>
      <c r="N164">
        <f t="shared" si="13"/>
        <v>9</v>
      </c>
      <c r="O164">
        <v>20</v>
      </c>
      <c r="P164" t="str">
        <f t="shared" si="14"/>
        <v>Yes</v>
      </c>
      <c r="Q164">
        <f>IF(Booking_Data[[#This Row],[Discounted Booking]]="Yes",1,0)</f>
        <v>1</v>
      </c>
      <c r="R164" t="s">
        <v>24</v>
      </c>
      <c r="S164">
        <f>IF(Booking_Data[[#This Row],[Cancellation Status]]="yes",1,0)</f>
        <v>0</v>
      </c>
    </row>
    <row r="165" spans="1:19" x14ac:dyDescent="0.35">
      <c r="A165" t="s">
        <v>356</v>
      </c>
      <c r="B165" t="s">
        <v>357</v>
      </c>
      <c r="C165" s="1">
        <v>45325</v>
      </c>
      <c r="D165" s="1">
        <v>45339</v>
      </c>
      <c r="E165" s="1">
        <v>45341</v>
      </c>
      <c r="F165" s="2">
        <f t="shared" si="10"/>
        <v>1</v>
      </c>
      <c r="G165" s="2" t="str">
        <f t="shared" si="11"/>
        <v>Saturday</v>
      </c>
      <c r="H165" s="2" t="str">
        <f t="shared" si="12"/>
        <v>February</v>
      </c>
      <c r="I165" t="s">
        <v>14</v>
      </c>
      <c r="J165" t="s">
        <v>21</v>
      </c>
      <c r="K165" t="s">
        <v>16</v>
      </c>
      <c r="L165" t="s">
        <v>27</v>
      </c>
      <c r="M165">
        <v>1277.8599999999999</v>
      </c>
      <c r="N165">
        <f t="shared" si="13"/>
        <v>2</v>
      </c>
      <c r="O165">
        <v>25</v>
      </c>
      <c r="P165" t="str">
        <f t="shared" si="14"/>
        <v>Yes</v>
      </c>
      <c r="Q165">
        <f>IF(Booking_Data[[#This Row],[Discounted Booking]]="Yes",1,0)</f>
        <v>1</v>
      </c>
      <c r="R165" t="s">
        <v>18</v>
      </c>
      <c r="S165">
        <f>IF(Booking_Data[[#This Row],[Cancellation Status]]="yes",1,0)</f>
        <v>1</v>
      </c>
    </row>
    <row r="166" spans="1:19" x14ac:dyDescent="0.35">
      <c r="A166" t="s">
        <v>358</v>
      </c>
      <c r="B166" t="s">
        <v>359</v>
      </c>
      <c r="C166" s="1">
        <v>45325</v>
      </c>
      <c r="D166" s="1">
        <v>45326</v>
      </c>
      <c r="E166" s="1">
        <v>45336</v>
      </c>
      <c r="F166" s="2">
        <f t="shared" si="10"/>
        <v>1</v>
      </c>
      <c r="G166" s="2" t="str">
        <f t="shared" si="11"/>
        <v>Saturday</v>
      </c>
      <c r="H166" s="2" t="str">
        <f t="shared" si="12"/>
        <v>February</v>
      </c>
      <c r="I166" t="s">
        <v>30</v>
      </c>
      <c r="J166" t="s">
        <v>15</v>
      </c>
      <c r="K166" t="s">
        <v>16</v>
      </c>
      <c r="L166" t="s">
        <v>37</v>
      </c>
      <c r="M166">
        <v>736.76</v>
      </c>
      <c r="N166">
        <f t="shared" si="13"/>
        <v>10</v>
      </c>
      <c r="O166">
        <v>25</v>
      </c>
      <c r="P166" t="str">
        <f t="shared" si="14"/>
        <v>Yes</v>
      </c>
      <c r="Q166">
        <f>IF(Booking_Data[[#This Row],[Discounted Booking]]="Yes",1,0)</f>
        <v>1</v>
      </c>
      <c r="R166" t="s">
        <v>24</v>
      </c>
      <c r="S166">
        <f>IF(Booking_Data[[#This Row],[Cancellation Status]]="yes",1,0)</f>
        <v>0</v>
      </c>
    </row>
    <row r="167" spans="1:19" x14ac:dyDescent="0.35">
      <c r="A167" t="s">
        <v>360</v>
      </c>
      <c r="B167" t="s">
        <v>361</v>
      </c>
      <c r="C167" s="1">
        <v>45325</v>
      </c>
      <c r="D167" s="1">
        <v>45332</v>
      </c>
      <c r="E167" s="1">
        <v>45338</v>
      </c>
      <c r="F167" s="2">
        <f t="shared" si="10"/>
        <v>1</v>
      </c>
      <c r="G167" s="2" t="str">
        <f t="shared" si="11"/>
        <v>Saturday</v>
      </c>
      <c r="H167" s="2" t="str">
        <f t="shared" si="12"/>
        <v>February</v>
      </c>
      <c r="I167" t="s">
        <v>35</v>
      </c>
      <c r="J167" t="s">
        <v>31</v>
      </c>
      <c r="K167" t="s">
        <v>42</v>
      </c>
      <c r="L167" t="s">
        <v>17</v>
      </c>
      <c r="M167">
        <v>1152.3</v>
      </c>
      <c r="N167">
        <f t="shared" si="13"/>
        <v>6</v>
      </c>
      <c r="O167">
        <v>15</v>
      </c>
      <c r="P167" t="str">
        <f t="shared" si="14"/>
        <v>Yes</v>
      </c>
      <c r="Q167">
        <f>IF(Booking_Data[[#This Row],[Discounted Booking]]="Yes",1,0)</f>
        <v>1</v>
      </c>
      <c r="R167" t="s">
        <v>18</v>
      </c>
      <c r="S167">
        <f>IF(Booking_Data[[#This Row],[Cancellation Status]]="yes",1,0)</f>
        <v>1</v>
      </c>
    </row>
    <row r="168" spans="1:19" x14ac:dyDescent="0.35">
      <c r="A168" t="s">
        <v>362</v>
      </c>
      <c r="B168" t="s">
        <v>363</v>
      </c>
      <c r="C168" s="1">
        <v>45327</v>
      </c>
      <c r="D168" s="1">
        <v>45344</v>
      </c>
      <c r="E168" s="1">
        <v>45349</v>
      </c>
      <c r="F168" s="2">
        <f t="shared" si="10"/>
        <v>2</v>
      </c>
      <c r="G168" s="2" t="str">
        <f t="shared" si="11"/>
        <v>Monday</v>
      </c>
      <c r="H168" s="2" t="str">
        <f t="shared" si="12"/>
        <v>February</v>
      </c>
      <c r="I168" t="s">
        <v>30</v>
      </c>
      <c r="J168" t="s">
        <v>31</v>
      </c>
      <c r="K168" t="s">
        <v>58</v>
      </c>
      <c r="L168" t="s">
        <v>23</v>
      </c>
      <c r="M168">
        <v>1461.83</v>
      </c>
      <c r="N168">
        <f t="shared" si="13"/>
        <v>5</v>
      </c>
      <c r="O168">
        <v>10</v>
      </c>
      <c r="P168" t="str">
        <f t="shared" si="14"/>
        <v>Yes</v>
      </c>
      <c r="Q168">
        <f>IF(Booking_Data[[#This Row],[Discounted Booking]]="Yes",1,0)</f>
        <v>1</v>
      </c>
      <c r="R168" t="s">
        <v>24</v>
      </c>
      <c r="S168">
        <f>IF(Booking_Data[[#This Row],[Cancellation Status]]="yes",1,0)</f>
        <v>0</v>
      </c>
    </row>
    <row r="169" spans="1:19" x14ac:dyDescent="0.35">
      <c r="A169" t="s">
        <v>364</v>
      </c>
      <c r="B169" t="s">
        <v>365</v>
      </c>
      <c r="C169" s="1">
        <v>45327</v>
      </c>
      <c r="D169" s="1">
        <v>45329</v>
      </c>
      <c r="E169" s="1">
        <v>45331</v>
      </c>
      <c r="F169" s="2">
        <f t="shared" si="10"/>
        <v>2</v>
      </c>
      <c r="G169" s="2" t="str">
        <f t="shared" si="11"/>
        <v>Monday</v>
      </c>
      <c r="H169" s="2" t="str">
        <f t="shared" si="12"/>
        <v>February</v>
      </c>
      <c r="I169" t="s">
        <v>30</v>
      </c>
      <c r="J169" t="s">
        <v>15</v>
      </c>
      <c r="K169" t="s">
        <v>16</v>
      </c>
      <c r="L169" t="s">
        <v>23</v>
      </c>
      <c r="M169">
        <v>148.47</v>
      </c>
      <c r="N169">
        <f t="shared" si="13"/>
        <v>2</v>
      </c>
      <c r="O169">
        <v>10</v>
      </c>
      <c r="P169" t="str">
        <f t="shared" si="14"/>
        <v>Yes</v>
      </c>
      <c r="Q169">
        <f>IF(Booking_Data[[#This Row],[Discounted Booking]]="Yes",1,0)</f>
        <v>1</v>
      </c>
      <c r="R169" t="s">
        <v>24</v>
      </c>
      <c r="S169">
        <f>IF(Booking_Data[[#This Row],[Cancellation Status]]="yes",1,0)</f>
        <v>0</v>
      </c>
    </row>
    <row r="170" spans="1:19" x14ac:dyDescent="0.35">
      <c r="A170" t="s">
        <v>366</v>
      </c>
      <c r="B170" t="s">
        <v>367</v>
      </c>
      <c r="C170" s="1">
        <v>45327</v>
      </c>
      <c r="D170" s="1">
        <v>45353</v>
      </c>
      <c r="E170" s="1">
        <v>45362</v>
      </c>
      <c r="F170" s="2">
        <f t="shared" si="10"/>
        <v>2</v>
      </c>
      <c r="G170" s="2" t="str">
        <f t="shared" si="11"/>
        <v>Monday</v>
      </c>
      <c r="H170" s="2" t="str">
        <f t="shared" si="12"/>
        <v>February</v>
      </c>
      <c r="I170" t="s">
        <v>14</v>
      </c>
      <c r="J170" t="s">
        <v>15</v>
      </c>
      <c r="K170" t="s">
        <v>22</v>
      </c>
      <c r="L170" t="s">
        <v>37</v>
      </c>
      <c r="M170">
        <v>145.55000000000001</v>
      </c>
      <c r="N170">
        <f t="shared" si="13"/>
        <v>9</v>
      </c>
      <c r="O170">
        <v>15</v>
      </c>
      <c r="P170" t="str">
        <f t="shared" si="14"/>
        <v>Yes</v>
      </c>
      <c r="Q170">
        <f>IF(Booking_Data[[#This Row],[Discounted Booking]]="Yes",1,0)</f>
        <v>1</v>
      </c>
      <c r="R170" t="s">
        <v>18</v>
      </c>
      <c r="S170">
        <f>IF(Booking_Data[[#This Row],[Cancellation Status]]="yes",1,0)</f>
        <v>1</v>
      </c>
    </row>
    <row r="171" spans="1:19" x14ac:dyDescent="0.35">
      <c r="A171" t="s">
        <v>368</v>
      </c>
      <c r="B171" t="s">
        <v>369</v>
      </c>
      <c r="C171" s="1">
        <v>45327</v>
      </c>
      <c r="D171" s="1">
        <v>45333</v>
      </c>
      <c r="E171" s="1">
        <v>45340</v>
      </c>
      <c r="F171" s="2">
        <f t="shared" si="10"/>
        <v>2</v>
      </c>
      <c r="G171" s="2" t="str">
        <f t="shared" si="11"/>
        <v>Monday</v>
      </c>
      <c r="H171" s="2" t="str">
        <f t="shared" si="12"/>
        <v>February</v>
      </c>
      <c r="I171" t="s">
        <v>35</v>
      </c>
      <c r="J171" t="s">
        <v>31</v>
      </c>
      <c r="K171" t="s">
        <v>42</v>
      </c>
      <c r="L171" t="s">
        <v>27</v>
      </c>
      <c r="M171">
        <v>148.94999999999999</v>
      </c>
      <c r="N171">
        <f t="shared" si="13"/>
        <v>7</v>
      </c>
      <c r="O171">
        <v>0</v>
      </c>
      <c r="P171" t="str">
        <f t="shared" si="14"/>
        <v>No</v>
      </c>
      <c r="Q171">
        <f>IF(Booking_Data[[#This Row],[Discounted Booking]]="Yes",1,0)</f>
        <v>0</v>
      </c>
      <c r="R171" t="s">
        <v>18</v>
      </c>
      <c r="S171">
        <f>IF(Booking_Data[[#This Row],[Cancellation Status]]="yes",1,0)</f>
        <v>1</v>
      </c>
    </row>
    <row r="172" spans="1:19" x14ac:dyDescent="0.35">
      <c r="A172" t="s">
        <v>370</v>
      </c>
      <c r="B172" t="s">
        <v>371</v>
      </c>
      <c r="C172" s="1">
        <v>45327</v>
      </c>
      <c r="D172" s="1">
        <v>45329</v>
      </c>
      <c r="E172" s="1">
        <v>45335</v>
      </c>
      <c r="F172" s="2">
        <f t="shared" si="10"/>
        <v>2</v>
      </c>
      <c r="G172" s="2" t="str">
        <f t="shared" si="11"/>
        <v>Monday</v>
      </c>
      <c r="H172" s="2" t="str">
        <f t="shared" si="12"/>
        <v>February</v>
      </c>
      <c r="I172" t="s">
        <v>30</v>
      </c>
      <c r="J172" t="s">
        <v>31</v>
      </c>
      <c r="K172" t="s">
        <v>22</v>
      </c>
      <c r="L172" t="s">
        <v>17</v>
      </c>
      <c r="M172">
        <v>585.65</v>
      </c>
      <c r="N172">
        <f t="shared" si="13"/>
        <v>6</v>
      </c>
      <c r="O172">
        <v>25</v>
      </c>
      <c r="P172" t="str">
        <f t="shared" si="14"/>
        <v>Yes</v>
      </c>
      <c r="Q172">
        <f>IF(Booking_Data[[#This Row],[Discounted Booking]]="Yes",1,0)</f>
        <v>1</v>
      </c>
      <c r="R172" t="s">
        <v>24</v>
      </c>
      <c r="S172">
        <f>IF(Booking_Data[[#This Row],[Cancellation Status]]="yes",1,0)</f>
        <v>0</v>
      </c>
    </row>
    <row r="173" spans="1:19" x14ac:dyDescent="0.35">
      <c r="A173" t="s">
        <v>372</v>
      </c>
      <c r="B173" t="s">
        <v>373</v>
      </c>
      <c r="C173" s="1">
        <v>45327</v>
      </c>
      <c r="D173" s="1">
        <v>45350</v>
      </c>
      <c r="E173" s="1">
        <v>45358</v>
      </c>
      <c r="F173" s="2">
        <f t="shared" si="10"/>
        <v>2</v>
      </c>
      <c r="G173" s="2" t="str">
        <f t="shared" si="11"/>
        <v>Monday</v>
      </c>
      <c r="H173" s="2" t="str">
        <f t="shared" si="12"/>
        <v>February</v>
      </c>
      <c r="I173" t="s">
        <v>30</v>
      </c>
      <c r="J173" t="s">
        <v>31</v>
      </c>
      <c r="K173" t="s">
        <v>32</v>
      </c>
      <c r="L173" t="s">
        <v>17</v>
      </c>
      <c r="M173">
        <v>792.43</v>
      </c>
      <c r="N173">
        <f t="shared" si="13"/>
        <v>8</v>
      </c>
      <c r="O173">
        <v>5</v>
      </c>
      <c r="P173" t="str">
        <f t="shared" si="14"/>
        <v>Yes</v>
      </c>
      <c r="Q173">
        <f>IF(Booking_Data[[#This Row],[Discounted Booking]]="Yes",1,0)</f>
        <v>1</v>
      </c>
      <c r="R173" t="s">
        <v>24</v>
      </c>
      <c r="S173">
        <f>IF(Booking_Data[[#This Row],[Cancellation Status]]="yes",1,0)</f>
        <v>0</v>
      </c>
    </row>
    <row r="174" spans="1:19" x14ac:dyDescent="0.35">
      <c r="A174" t="s">
        <v>374</v>
      </c>
      <c r="B174" t="s">
        <v>375</v>
      </c>
      <c r="C174" s="1">
        <v>45328</v>
      </c>
      <c r="D174" s="1">
        <v>45345</v>
      </c>
      <c r="E174" s="1">
        <v>45346</v>
      </c>
      <c r="F174" s="2">
        <f t="shared" si="10"/>
        <v>2</v>
      </c>
      <c r="G174" s="2" t="str">
        <f t="shared" si="11"/>
        <v>Tuesday</v>
      </c>
      <c r="H174" s="2" t="str">
        <f t="shared" si="12"/>
        <v>February</v>
      </c>
      <c r="I174" t="s">
        <v>30</v>
      </c>
      <c r="J174" t="s">
        <v>21</v>
      </c>
      <c r="K174" t="s">
        <v>22</v>
      </c>
      <c r="L174" t="s">
        <v>23</v>
      </c>
      <c r="M174">
        <v>182.41</v>
      </c>
      <c r="N174">
        <f t="shared" si="13"/>
        <v>1</v>
      </c>
      <c r="O174">
        <v>5</v>
      </c>
      <c r="P174" t="str">
        <f t="shared" si="14"/>
        <v>Yes</v>
      </c>
      <c r="Q174">
        <f>IF(Booking_Data[[#This Row],[Discounted Booking]]="Yes",1,0)</f>
        <v>1</v>
      </c>
      <c r="R174" t="s">
        <v>24</v>
      </c>
      <c r="S174">
        <f>IF(Booking_Data[[#This Row],[Cancellation Status]]="yes",1,0)</f>
        <v>0</v>
      </c>
    </row>
    <row r="175" spans="1:19" x14ac:dyDescent="0.35">
      <c r="A175" t="s">
        <v>376</v>
      </c>
      <c r="B175" t="s">
        <v>377</v>
      </c>
      <c r="C175" s="1">
        <v>45328</v>
      </c>
      <c r="D175" s="1">
        <v>45340</v>
      </c>
      <c r="E175" s="1">
        <v>45350</v>
      </c>
      <c r="F175" s="2">
        <f t="shared" si="10"/>
        <v>2</v>
      </c>
      <c r="G175" s="2" t="str">
        <f t="shared" si="11"/>
        <v>Tuesday</v>
      </c>
      <c r="H175" s="2" t="str">
        <f t="shared" si="12"/>
        <v>February</v>
      </c>
      <c r="I175" t="s">
        <v>14</v>
      </c>
      <c r="J175" t="s">
        <v>36</v>
      </c>
      <c r="K175" t="s">
        <v>42</v>
      </c>
      <c r="L175" t="s">
        <v>27</v>
      </c>
      <c r="M175">
        <v>348.21</v>
      </c>
      <c r="N175">
        <f t="shared" si="13"/>
        <v>10</v>
      </c>
      <c r="O175">
        <v>20</v>
      </c>
      <c r="P175" t="str">
        <f t="shared" si="14"/>
        <v>Yes</v>
      </c>
      <c r="Q175">
        <f>IF(Booking_Data[[#This Row],[Discounted Booking]]="Yes",1,0)</f>
        <v>1</v>
      </c>
      <c r="R175" t="s">
        <v>24</v>
      </c>
      <c r="S175">
        <f>IF(Booking_Data[[#This Row],[Cancellation Status]]="yes",1,0)</f>
        <v>0</v>
      </c>
    </row>
    <row r="176" spans="1:19" x14ac:dyDescent="0.35">
      <c r="A176" t="s">
        <v>378</v>
      </c>
      <c r="B176" t="s">
        <v>363</v>
      </c>
      <c r="C176" s="1">
        <v>45328</v>
      </c>
      <c r="D176" s="1">
        <v>45347</v>
      </c>
      <c r="E176" s="1">
        <v>45356</v>
      </c>
      <c r="F176" s="2">
        <f t="shared" si="10"/>
        <v>2</v>
      </c>
      <c r="G176" s="2" t="str">
        <f t="shared" si="11"/>
        <v>Tuesday</v>
      </c>
      <c r="H176" s="2" t="str">
        <f t="shared" si="12"/>
        <v>February</v>
      </c>
      <c r="I176" t="s">
        <v>30</v>
      </c>
      <c r="J176" t="s">
        <v>36</v>
      </c>
      <c r="K176" t="s">
        <v>58</v>
      </c>
      <c r="L176" t="s">
        <v>17</v>
      </c>
      <c r="M176">
        <v>751.5</v>
      </c>
      <c r="N176">
        <f t="shared" si="13"/>
        <v>9</v>
      </c>
      <c r="O176">
        <v>10</v>
      </c>
      <c r="P176" t="str">
        <f t="shared" si="14"/>
        <v>Yes</v>
      </c>
      <c r="Q176">
        <f>IF(Booking_Data[[#This Row],[Discounted Booking]]="Yes",1,0)</f>
        <v>1</v>
      </c>
      <c r="R176" t="s">
        <v>18</v>
      </c>
      <c r="S176">
        <f>IF(Booking_Data[[#This Row],[Cancellation Status]]="yes",1,0)</f>
        <v>1</v>
      </c>
    </row>
    <row r="177" spans="1:19" x14ac:dyDescent="0.35">
      <c r="A177" t="s">
        <v>379</v>
      </c>
      <c r="B177" t="s">
        <v>380</v>
      </c>
      <c r="C177" s="1">
        <v>45328</v>
      </c>
      <c r="D177" s="1">
        <v>45343</v>
      </c>
      <c r="E177" s="1">
        <v>45345</v>
      </c>
      <c r="F177" s="2">
        <f t="shared" si="10"/>
        <v>2</v>
      </c>
      <c r="G177" s="2" t="str">
        <f t="shared" si="11"/>
        <v>Tuesday</v>
      </c>
      <c r="H177" s="2" t="str">
        <f t="shared" si="12"/>
        <v>February</v>
      </c>
      <c r="I177" t="s">
        <v>30</v>
      </c>
      <c r="J177" t="s">
        <v>21</v>
      </c>
      <c r="K177" t="s">
        <v>22</v>
      </c>
      <c r="L177" t="s">
        <v>37</v>
      </c>
      <c r="M177">
        <v>269.92</v>
      </c>
      <c r="N177">
        <f t="shared" si="13"/>
        <v>2</v>
      </c>
      <c r="O177">
        <v>5</v>
      </c>
      <c r="P177" t="str">
        <f t="shared" si="14"/>
        <v>Yes</v>
      </c>
      <c r="Q177">
        <f>IF(Booking_Data[[#This Row],[Discounted Booking]]="Yes",1,0)</f>
        <v>1</v>
      </c>
      <c r="R177" t="s">
        <v>24</v>
      </c>
      <c r="S177">
        <f>IF(Booking_Data[[#This Row],[Cancellation Status]]="yes",1,0)</f>
        <v>0</v>
      </c>
    </row>
    <row r="178" spans="1:19" x14ac:dyDescent="0.35">
      <c r="A178" t="s">
        <v>381</v>
      </c>
      <c r="B178" t="s">
        <v>382</v>
      </c>
      <c r="C178" s="1">
        <v>45328</v>
      </c>
      <c r="D178" s="1">
        <v>45342</v>
      </c>
      <c r="E178" s="1">
        <v>45347</v>
      </c>
      <c r="F178" s="2">
        <f t="shared" si="10"/>
        <v>2</v>
      </c>
      <c r="G178" s="2" t="str">
        <f t="shared" si="11"/>
        <v>Tuesday</v>
      </c>
      <c r="H178" s="2" t="str">
        <f t="shared" si="12"/>
        <v>February</v>
      </c>
      <c r="I178" t="s">
        <v>35</v>
      </c>
      <c r="J178" t="s">
        <v>36</v>
      </c>
      <c r="K178" t="s">
        <v>49</v>
      </c>
      <c r="L178" t="s">
        <v>27</v>
      </c>
      <c r="M178">
        <v>661.38</v>
      </c>
      <c r="N178">
        <f t="shared" si="13"/>
        <v>5</v>
      </c>
      <c r="O178">
        <v>10</v>
      </c>
      <c r="P178" t="str">
        <f t="shared" si="14"/>
        <v>Yes</v>
      </c>
      <c r="Q178">
        <f>IF(Booking_Data[[#This Row],[Discounted Booking]]="Yes",1,0)</f>
        <v>1</v>
      </c>
      <c r="R178" t="s">
        <v>18</v>
      </c>
      <c r="S178">
        <f>IF(Booking_Data[[#This Row],[Cancellation Status]]="yes",1,0)</f>
        <v>1</v>
      </c>
    </row>
    <row r="179" spans="1:19" x14ac:dyDescent="0.35">
      <c r="A179" t="s">
        <v>383</v>
      </c>
      <c r="B179" t="s">
        <v>384</v>
      </c>
      <c r="C179" s="1">
        <v>45328</v>
      </c>
      <c r="D179" s="1">
        <v>45333</v>
      </c>
      <c r="E179" s="1">
        <v>45339</v>
      </c>
      <c r="F179" s="2">
        <f t="shared" si="10"/>
        <v>2</v>
      </c>
      <c r="G179" s="2" t="str">
        <f t="shared" si="11"/>
        <v>Tuesday</v>
      </c>
      <c r="H179" s="2" t="str">
        <f t="shared" si="12"/>
        <v>February</v>
      </c>
      <c r="I179" t="s">
        <v>14</v>
      </c>
      <c r="J179" t="s">
        <v>21</v>
      </c>
      <c r="K179" t="s">
        <v>22</v>
      </c>
      <c r="L179" t="s">
        <v>37</v>
      </c>
      <c r="M179">
        <v>1306.6400000000001</v>
      </c>
      <c r="N179">
        <f t="shared" si="13"/>
        <v>6</v>
      </c>
      <c r="O179">
        <v>20</v>
      </c>
      <c r="P179" t="str">
        <f t="shared" si="14"/>
        <v>Yes</v>
      </c>
      <c r="Q179">
        <f>IF(Booking_Data[[#This Row],[Discounted Booking]]="Yes",1,0)</f>
        <v>1</v>
      </c>
      <c r="R179" t="s">
        <v>18</v>
      </c>
      <c r="S179">
        <f>IF(Booking_Data[[#This Row],[Cancellation Status]]="yes",1,0)</f>
        <v>1</v>
      </c>
    </row>
    <row r="180" spans="1:19" x14ac:dyDescent="0.35">
      <c r="A180" t="s">
        <v>385</v>
      </c>
      <c r="B180" t="s">
        <v>386</v>
      </c>
      <c r="C180" s="1">
        <v>45329</v>
      </c>
      <c r="D180" s="1">
        <v>45338</v>
      </c>
      <c r="E180" s="1">
        <v>45348</v>
      </c>
      <c r="F180" s="2">
        <f t="shared" si="10"/>
        <v>2</v>
      </c>
      <c r="G180" s="2" t="str">
        <f t="shared" si="11"/>
        <v>Wednesday</v>
      </c>
      <c r="H180" s="2" t="str">
        <f t="shared" si="12"/>
        <v>February</v>
      </c>
      <c r="I180" t="s">
        <v>30</v>
      </c>
      <c r="J180" t="s">
        <v>31</v>
      </c>
      <c r="K180" t="s">
        <v>58</v>
      </c>
      <c r="L180" t="s">
        <v>23</v>
      </c>
      <c r="M180">
        <v>1071.95</v>
      </c>
      <c r="N180">
        <f t="shared" si="13"/>
        <v>10</v>
      </c>
      <c r="O180">
        <v>15</v>
      </c>
      <c r="P180" t="str">
        <f t="shared" si="14"/>
        <v>Yes</v>
      </c>
      <c r="Q180">
        <f>IF(Booking_Data[[#This Row],[Discounted Booking]]="Yes",1,0)</f>
        <v>1</v>
      </c>
      <c r="R180" t="s">
        <v>18</v>
      </c>
      <c r="S180">
        <f>IF(Booking_Data[[#This Row],[Cancellation Status]]="yes",1,0)</f>
        <v>1</v>
      </c>
    </row>
    <row r="181" spans="1:19" x14ac:dyDescent="0.35">
      <c r="A181" t="s">
        <v>387</v>
      </c>
      <c r="B181" t="s">
        <v>388</v>
      </c>
      <c r="C181" s="1">
        <v>45329</v>
      </c>
      <c r="D181" s="1">
        <v>45358</v>
      </c>
      <c r="E181" s="1">
        <v>45359</v>
      </c>
      <c r="F181" s="2">
        <f t="shared" si="10"/>
        <v>2</v>
      </c>
      <c r="G181" s="2" t="str">
        <f t="shared" si="11"/>
        <v>Wednesday</v>
      </c>
      <c r="H181" s="2" t="str">
        <f t="shared" si="12"/>
        <v>February</v>
      </c>
      <c r="I181" t="s">
        <v>35</v>
      </c>
      <c r="J181" t="s">
        <v>15</v>
      </c>
      <c r="K181" t="s">
        <v>32</v>
      </c>
      <c r="L181" t="s">
        <v>23</v>
      </c>
      <c r="M181">
        <v>1095.8</v>
      </c>
      <c r="N181">
        <f t="shared" si="13"/>
        <v>1</v>
      </c>
      <c r="O181">
        <v>5</v>
      </c>
      <c r="P181" t="str">
        <f t="shared" si="14"/>
        <v>Yes</v>
      </c>
      <c r="Q181">
        <f>IF(Booking_Data[[#This Row],[Discounted Booking]]="Yes",1,0)</f>
        <v>1</v>
      </c>
      <c r="R181" t="s">
        <v>18</v>
      </c>
      <c r="S181">
        <f>IF(Booking_Data[[#This Row],[Cancellation Status]]="yes",1,0)</f>
        <v>1</v>
      </c>
    </row>
    <row r="182" spans="1:19" x14ac:dyDescent="0.35">
      <c r="A182" t="s">
        <v>389</v>
      </c>
      <c r="B182" t="s">
        <v>390</v>
      </c>
      <c r="C182" s="1">
        <v>45329</v>
      </c>
      <c r="D182" s="1">
        <v>45352</v>
      </c>
      <c r="E182" s="1">
        <v>45361</v>
      </c>
      <c r="F182" s="2">
        <f t="shared" si="10"/>
        <v>2</v>
      </c>
      <c r="G182" s="2" t="str">
        <f t="shared" si="11"/>
        <v>Wednesday</v>
      </c>
      <c r="H182" s="2" t="str">
        <f t="shared" si="12"/>
        <v>February</v>
      </c>
      <c r="I182" t="s">
        <v>35</v>
      </c>
      <c r="J182" t="s">
        <v>36</v>
      </c>
      <c r="K182" t="s">
        <v>32</v>
      </c>
      <c r="L182" t="s">
        <v>23</v>
      </c>
      <c r="M182">
        <v>1277.6099999999999</v>
      </c>
      <c r="N182">
        <f t="shared" si="13"/>
        <v>9</v>
      </c>
      <c r="O182">
        <v>5</v>
      </c>
      <c r="P182" t="str">
        <f t="shared" si="14"/>
        <v>Yes</v>
      </c>
      <c r="Q182">
        <f>IF(Booking_Data[[#This Row],[Discounted Booking]]="Yes",1,0)</f>
        <v>1</v>
      </c>
      <c r="R182" t="s">
        <v>24</v>
      </c>
      <c r="S182">
        <f>IF(Booking_Data[[#This Row],[Cancellation Status]]="yes",1,0)</f>
        <v>0</v>
      </c>
    </row>
    <row r="183" spans="1:19" x14ac:dyDescent="0.35">
      <c r="A183" t="s">
        <v>391</v>
      </c>
      <c r="B183" t="s">
        <v>392</v>
      </c>
      <c r="C183" s="1">
        <v>45329</v>
      </c>
      <c r="D183" s="1">
        <v>45352</v>
      </c>
      <c r="E183" s="1">
        <v>45353</v>
      </c>
      <c r="F183" s="2">
        <f t="shared" si="10"/>
        <v>2</v>
      </c>
      <c r="G183" s="2" t="str">
        <f t="shared" si="11"/>
        <v>Wednesday</v>
      </c>
      <c r="H183" s="2" t="str">
        <f t="shared" si="12"/>
        <v>February</v>
      </c>
      <c r="I183" t="s">
        <v>14</v>
      </c>
      <c r="J183" t="s">
        <v>31</v>
      </c>
      <c r="K183" t="s">
        <v>16</v>
      </c>
      <c r="L183" t="s">
        <v>23</v>
      </c>
      <c r="M183">
        <v>586.80999999999995</v>
      </c>
      <c r="N183">
        <f t="shared" si="13"/>
        <v>1</v>
      </c>
      <c r="O183">
        <v>5</v>
      </c>
      <c r="P183" t="str">
        <f t="shared" si="14"/>
        <v>Yes</v>
      </c>
      <c r="Q183">
        <f>IF(Booking_Data[[#This Row],[Discounted Booking]]="Yes",1,0)</f>
        <v>1</v>
      </c>
      <c r="R183" t="s">
        <v>24</v>
      </c>
      <c r="S183">
        <f>IF(Booking_Data[[#This Row],[Cancellation Status]]="yes",1,0)</f>
        <v>0</v>
      </c>
    </row>
    <row r="184" spans="1:19" x14ac:dyDescent="0.35">
      <c r="A184" t="s">
        <v>393</v>
      </c>
      <c r="B184" t="s">
        <v>394</v>
      </c>
      <c r="C184" s="1">
        <v>45329</v>
      </c>
      <c r="D184" s="1">
        <v>45345</v>
      </c>
      <c r="E184" s="1">
        <v>45355</v>
      </c>
      <c r="F184" s="2">
        <f t="shared" si="10"/>
        <v>2</v>
      </c>
      <c r="G184" s="2" t="str">
        <f t="shared" si="11"/>
        <v>Wednesday</v>
      </c>
      <c r="H184" s="2" t="str">
        <f t="shared" si="12"/>
        <v>February</v>
      </c>
      <c r="I184" t="s">
        <v>14</v>
      </c>
      <c r="J184" t="s">
        <v>21</v>
      </c>
      <c r="K184" t="s">
        <v>22</v>
      </c>
      <c r="L184" t="s">
        <v>23</v>
      </c>
      <c r="M184">
        <v>982.34</v>
      </c>
      <c r="N184">
        <f t="shared" si="13"/>
        <v>10</v>
      </c>
      <c r="O184">
        <v>5</v>
      </c>
      <c r="P184" t="str">
        <f t="shared" si="14"/>
        <v>Yes</v>
      </c>
      <c r="Q184">
        <f>IF(Booking_Data[[#This Row],[Discounted Booking]]="Yes",1,0)</f>
        <v>1</v>
      </c>
      <c r="R184" t="s">
        <v>18</v>
      </c>
      <c r="S184">
        <f>IF(Booking_Data[[#This Row],[Cancellation Status]]="yes",1,0)</f>
        <v>1</v>
      </c>
    </row>
    <row r="185" spans="1:19" x14ac:dyDescent="0.35">
      <c r="A185" t="s">
        <v>395</v>
      </c>
      <c r="B185" t="s">
        <v>396</v>
      </c>
      <c r="C185" s="1">
        <v>45329</v>
      </c>
      <c r="D185" s="1">
        <v>45348</v>
      </c>
      <c r="E185" s="1">
        <v>45351</v>
      </c>
      <c r="F185" s="2">
        <f t="shared" si="10"/>
        <v>2</v>
      </c>
      <c r="G185" s="2" t="str">
        <f t="shared" si="11"/>
        <v>Wednesday</v>
      </c>
      <c r="H185" s="2" t="str">
        <f t="shared" si="12"/>
        <v>February</v>
      </c>
      <c r="I185" t="s">
        <v>35</v>
      </c>
      <c r="J185" t="s">
        <v>36</v>
      </c>
      <c r="K185" t="s">
        <v>22</v>
      </c>
      <c r="L185" t="s">
        <v>27</v>
      </c>
      <c r="M185">
        <v>413.61</v>
      </c>
      <c r="N185">
        <f t="shared" si="13"/>
        <v>3</v>
      </c>
      <c r="O185">
        <v>25</v>
      </c>
      <c r="P185" t="str">
        <f t="shared" si="14"/>
        <v>Yes</v>
      </c>
      <c r="Q185">
        <f>IF(Booking_Data[[#This Row],[Discounted Booking]]="Yes",1,0)</f>
        <v>1</v>
      </c>
      <c r="R185" t="s">
        <v>18</v>
      </c>
      <c r="S185">
        <f>IF(Booking_Data[[#This Row],[Cancellation Status]]="yes",1,0)</f>
        <v>1</v>
      </c>
    </row>
    <row r="186" spans="1:19" x14ac:dyDescent="0.35">
      <c r="A186" t="s">
        <v>397</v>
      </c>
      <c r="B186" t="s">
        <v>398</v>
      </c>
      <c r="C186" s="1">
        <v>45330</v>
      </c>
      <c r="D186" s="1">
        <v>45352</v>
      </c>
      <c r="E186" s="1">
        <v>45359</v>
      </c>
      <c r="F186" s="2">
        <f t="shared" si="10"/>
        <v>2</v>
      </c>
      <c r="G186" s="2" t="str">
        <f t="shared" si="11"/>
        <v>Thursday</v>
      </c>
      <c r="H186" s="2" t="str">
        <f t="shared" si="12"/>
        <v>February</v>
      </c>
      <c r="I186" t="s">
        <v>30</v>
      </c>
      <c r="J186" t="s">
        <v>36</v>
      </c>
      <c r="K186" t="s">
        <v>22</v>
      </c>
      <c r="L186" t="s">
        <v>17</v>
      </c>
      <c r="M186">
        <v>990.36</v>
      </c>
      <c r="N186">
        <f t="shared" si="13"/>
        <v>7</v>
      </c>
      <c r="O186">
        <v>5</v>
      </c>
      <c r="P186" t="str">
        <f t="shared" si="14"/>
        <v>Yes</v>
      </c>
      <c r="Q186">
        <f>IF(Booking_Data[[#This Row],[Discounted Booking]]="Yes",1,0)</f>
        <v>1</v>
      </c>
      <c r="R186" t="s">
        <v>18</v>
      </c>
      <c r="S186">
        <f>IF(Booking_Data[[#This Row],[Cancellation Status]]="yes",1,0)</f>
        <v>1</v>
      </c>
    </row>
    <row r="187" spans="1:19" x14ac:dyDescent="0.35">
      <c r="A187" t="s">
        <v>399</v>
      </c>
      <c r="B187" t="s">
        <v>400</v>
      </c>
      <c r="C187" s="1">
        <v>45330</v>
      </c>
      <c r="D187" s="1">
        <v>45360</v>
      </c>
      <c r="E187" s="1">
        <v>45363</v>
      </c>
      <c r="F187" s="2">
        <f t="shared" si="10"/>
        <v>2</v>
      </c>
      <c r="G187" s="2" t="str">
        <f t="shared" si="11"/>
        <v>Thursday</v>
      </c>
      <c r="H187" s="2" t="str">
        <f t="shared" si="12"/>
        <v>February</v>
      </c>
      <c r="I187" t="s">
        <v>14</v>
      </c>
      <c r="J187" t="s">
        <v>21</v>
      </c>
      <c r="K187" t="s">
        <v>58</v>
      </c>
      <c r="L187" t="s">
        <v>23</v>
      </c>
      <c r="M187">
        <v>699.13</v>
      </c>
      <c r="N187">
        <f t="shared" si="13"/>
        <v>3</v>
      </c>
      <c r="O187">
        <v>0</v>
      </c>
      <c r="P187" t="str">
        <f t="shared" si="14"/>
        <v>No</v>
      </c>
      <c r="Q187">
        <f>IF(Booking_Data[[#This Row],[Discounted Booking]]="Yes",1,0)</f>
        <v>0</v>
      </c>
      <c r="R187" t="s">
        <v>24</v>
      </c>
      <c r="S187">
        <f>IF(Booking_Data[[#This Row],[Cancellation Status]]="yes",1,0)</f>
        <v>0</v>
      </c>
    </row>
    <row r="188" spans="1:19" x14ac:dyDescent="0.35">
      <c r="A188" t="s">
        <v>401</v>
      </c>
      <c r="B188" t="s">
        <v>402</v>
      </c>
      <c r="C188" s="1">
        <v>45330</v>
      </c>
      <c r="D188" s="1">
        <v>45348</v>
      </c>
      <c r="E188" s="1">
        <v>45353</v>
      </c>
      <c r="F188" s="2">
        <f t="shared" si="10"/>
        <v>2</v>
      </c>
      <c r="G188" s="2" t="str">
        <f t="shared" si="11"/>
        <v>Thursday</v>
      </c>
      <c r="H188" s="2" t="str">
        <f t="shared" si="12"/>
        <v>February</v>
      </c>
      <c r="I188" t="s">
        <v>14</v>
      </c>
      <c r="J188" t="s">
        <v>31</v>
      </c>
      <c r="K188" t="s">
        <v>58</v>
      </c>
      <c r="L188" t="s">
        <v>37</v>
      </c>
      <c r="M188">
        <v>396.54</v>
      </c>
      <c r="N188">
        <f t="shared" si="13"/>
        <v>5</v>
      </c>
      <c r="O188">
        <v>0</v>
      </c>
      <c r="P188" t="str">
        <f t="shared" si="14"/>
        <v>No</v>
      </c>
      <c r="Q188">
        <f>IF(Booking_Data[[#This Row],[Discounted Booking]]="Yes",1,0)</f>
        <v>0</v>
      </c>
      <c r="R188" t="s">
        <v>18</v>
      </c>
      <c r="S188">
        <f>IF(Booking_Data[[#This Row],[Cancellation Status]]="yes",1,0)</f>
        <v>1</v>
      </c>
    </row>
    <row r="189" spans="1:19" x14ac:dyDescent="0.35">
      <c r="A189" t="s">
        <v>403</v>
      </c>
      <c r="B189" t="s">
        <v>404</v>
      </c>
      <c r="C189" s="1">
        <v>45330</v>
      </c>
      <c r="D189" s="1">
        <v>45333</v>
      </c>
      <c r="E189" s="1">
        <v>45339</v>
      </c>
      <c r="F189" s="2">
        <f t="shared" si="10"/>
        <v>2</v>
      </c>
      <c r="G189" s="2" t="str">
        <f t="shared" si="11"/>
        <v>Thursday</v>
      </c>
      <c r="H189" s="2" t="str">
        <f t="shared" si="12"/>
        <v>February</v>
      </c>
      <c r="I189" t="s">
        <v>30</v>
      </c>
      <c r="J189" t="s">
        <v>15</v>
      </c>
      <c r="K189" t="s">
        <v>58</v>
      </c>
      <c r="L189" t="s">
        <v>37</v>
      </c>
      <c r="M189">
        <v>377.89</v>
      </c>
      <c r="N189">
        <f t="shared" si="13"/>
        <v>6</v>
      </c>
      <c r="O189">
        <v>5</v>
      </c>
      <c r="P189" t="str">
        <f t="shared" si="14"/>
        <v>Yes</v>
      </c>
      <c r="Q189">
        <f>IF(Booking_Data[[#This Row],[Discounted Booking]]="Yes",1,0)</f>
        <v>1</v>
      </c>
      <c r="R189" t="s">
        <v>18</v>
      </c>
      <c r="S189">
        <f>IF(Booking_Data[[#This Row],[Cancellation Status]]="yes",1,0)</f>
        <v>1</v>
      </c>
    </row>
    <row r="190" spans="1:19" x14ac:dyDescent="0.35">
      <c r="A190" t="s">
        <v>405</v>
      </c>
      <c r="B190" t="s">
        <v>406</v>
      </c>
      <c r="C190" s="1">
        <v>45331</v>
      </c>
      <c r="D190" s="1">
        <v>45361</v>
      </c>
      <c r="E190" s="1">
        <v>45364</v>
      </c>
      <c r="F190" s="2">
        <f t="shared" si="10"/>
        <v>2</v>
      </c>
      <c r="G190" s="2" t="str">
        <f t="shared" si="11"/>
        <v>Friday</v>
      </c>
      <c r="H190" s="2" t="str">
        <f t="shared" si="12"/>
        <v>February</v>
      </c>
      <c r="I190" t="s">
        <v>35</v>
      </c>
      <c r="J190" t="s">
        <v>36</v>
      </c>
      <c r="K190" t="s">
        <v>16</v>
      </c>
      <c r="L190" t="s">
        <v>27</v>
      </c>
      <c r="M190">
        <v>350.77</v>
      </c>
      <c r="N190">
        <f t="shared" si="13"/>
        <v>3</v>
      </c>
      <c r="O190">
        <v>15</v>
      </c>
      <c r="P190" t="str">
        <f t="shared" si="14"/>
        <v>Yes</v>
      </c>
      <c r="Q190">
        <f>IF(Booking_Data[[#This Row],[Discounted Booking]]="Yes",1,0)</f>
        <v>1</v>
      </c>
      <c r="R190" t="s">
        <v>18</v>
      </c>
      <c r="S190">
        <f>IF(Booking_Data[[#This Row],[Cancellation Status]]="yes",1,0)</f>
        <v>1</v>
      </c>
    </row>
    <row r="191" spans="1:19" x14ac:dyDescent="0.35">
      <c r="A191" t="s">
        <v>407</v>
      </c>
      <c r="B191" t="s">
        <v>408</v>
      </c>
      <c r="C191" s="1">
        <v>45331</v>
      </c>
      <c r="D191" s="1">
        <v>45337</v>
      </c>
      <c r="E191" s="1">
        <v>45343</v>
      </c>
      <c r="F191" s="2">
        <f t="shared" si="10"/>
        <v>2</v>
      </c>
      <c r="G191" s="2" t="str">
        <f t="shared" si="11"/>
        <v>Friday</v>
      </c>
      <c r="H191" s="2" t="str">
        <f t="shared" si="12"/>
        <v>February</v>
      </c>
      <c r="I191" t="s">
        <v>35</v>
      </c>
      <c r="J191" t="s">
        <v>21</v>
      </c>
      <c r="K191" t="s">
        <v>42</v>
      </c>
      <c r="L191" t="s">
        <v>37</v>
      </c>
      <c r="M191">
        <v>358.17</v>
      </c>
      <c r="N191">
        <f t="shared" si="13"/>
        <v>6</v>
      </c>
      <c r="O191">
        <v>20</v>
      </c>
      <c r="P191" t="str">
        <f t="shared" si="14"/>
        <v>Yes</v>
      </c>
      <c r="Q191">
        <f>IF(Booking_Data[[#This Row],[Discounted Booking]]="Yes",1,0)</f>
        <v>1</v>
      </c>
      <c r="R191" t="s">
        <v>18</v>
      </c>
      <c r="S191">
        <f>IF(Booking_Data[[#This Row],[Cancellation Status]]="yes",1,0)</f>
        <v>1</v>
      </c>
    </row>
    <row r="192" spans="1:19" x14ac:dyDescent="0.35">
      <c r="A192" t="s">
        <v>409</v>
      </c>
      <c r="B192" t="s">
        <v>410</v>
      </c>
      <c r="C192" s="1">
        <v>45331</v>
      </c>
      <c r="D192" s="1">
        <v>45356</v>
      </c>
      <c r="E192" s="1">
        <v>45364</v>
      </c>
      <c r="F192" s="2">
        <f t="shared" si="10"/>
        <v>2</v>
      </c>
      <c r="G192" s="2" t="str">
        <f t="shared" si="11"/>
        <v>Friday</v>
      </c>
      <c r="H192" s="2" t="str">
        <f t="shared" si="12"/>
        <v>February</v>
      </c>
      <c r="I192" t="s">
        <v>30</v>
      </c>
      <c r="J192" t="s">
        <v>36</v>
      </c>
      <c r="K192" t="s">
        <v>49</v>
      </c>
      <c r="L192" t="s">
        <v>23</v>
      </c>
      <c r="M192">
        <v>384.12</v>
      </c>
      <c r="N192">
        <f t="shared" si="13"/>
        <v>8</v>
      </c>
      <c r="O192">
        <v>20</v>
      </c>
      <c r="P192" t="str">
        <f t="shared" si="14"/>
        <v>Yes</v>
      </c>
      <c r="Q192">
        <f>IF(Booking_Data[[#This Row],[Discounted Booking]]="Yes",1,0)</f>
        <v>1</v>
      </c>
      <c r="R192" t="s">
        <v>24</v>
      </c>
      <c r="S192">
        <f>IF(Booking_Data[[#This Row],[Cancellation Status]]="yes",1,0)</f>
        <v>0</v>
      </c>
    </row>
    <row r="193" spans="1:19" x14ac:dyDescent="0.35">
      <c r="A193" t="s">
        <v>411</v>
      </c>
      <c r="B193" t="s">
        <v>412</v>
      </c>
      <c r="C193" s="1">
        <v>45331</v>
      </c>
      <c r="D193" s="1">
        <v>45347</v>
      </c>
      <c r="E193" s="1">
        <v>45351</v>
      </c>
      <c r="F193" s="2">
        <f t="shared" si="10"/>
        <v>2</v>
      </c>
      <c r="G193" s="2" t="str">
        <f t="shared" si="11"/>
        <v>Friday</v>
      </c>
      <c r="H193" s="2" t="str">
        <f t="shared" si="12"/>
        <v>February</v>
      </c>
      <c r="I193" t="s">
        <v>35</v>
      </c>
      <c r="J193" t="s">
        <v>21</v>
      </c>
      <c r="K193" t="s">
        <v>58</v>
      </c>
      <c r="L193" t="s">
        <v>23</v>
      </c>
      <c r="M193">
        <v>625.05999999999995</v>
      </c>
      <c r="N193">
        <f t="shared" si="13"/>
        <v>4</v>
      </c>
      <c r="O193">
        <v>5</v>
      </c>
      <c r="P193" t="str">
        <f t="shared" si="14"/>
        <v>Yes</v>
      </c>
      <c r="Q193">
        <f>IF(Booking_Data[[#This Row],[Discounted Booking]]="Yes",1,0)</f>
        <v>1</v>
      </c>
      <c r="R193" t="s">
        <v>18</v>
      </c>
      <c r="S193">
        <f>IF(Booking_Data[[#This Row],[Cancellation Status]]="yes",1,0)</f>
        <v>1</v>
      </c>
    </row>
    <row r="194" spans="1:19" x14ac:dyDescent="0.35">
      <c r="A194" t="s">
        <v>413</v>
      </c>
      <c r="B194" t="s">
        <v>414</v>
      </c>
      <c r="C194" s="1">
        <v>45331</v>
      </c>
      <c r="D194" s="1">
        <v>45332</v>
      </c>
      <c r="E194" s="1">
        <v>45336</v>
      </c>
      <c r="F194" s="2">
        <f t="shared" ref="F194:F257" si="15">WEEKNUM(C194) - WEEKNUM(DATE(YEAR(C194), MONTH(C194), 1)) + 1</f>
        <v>2</v>
      </c>
      <c r="G194" s="2" t="str">
        <f t="shared" ref="G194:G257" si="16">TEXT(C194,"dddd")</f>
        <v>Friday</v>
      </c>
      <c r="H194" s="2" t="str">
        <f t="shared" ref="H194:H257" si="17">TEXT(C194, "mmmm")</f>
        <v>February</v>
      </c>
      <c r="I194" t="s">
        <v>14</v>
      </c>
      <c r="J194" t="s">
        <v>21</v>
      </c>
      <c r="K194" t="s">
        <v>49</v>
      </c>
      <c r="L194" t="s">
        <v>23</v>
      </c>
      <c r="M194">
        <v>1252.25</v>
      </c>
      <c r="N194">
        <f t="shared" ref="N194:N257" si="18">_xlfn.DAYS(E194,D194)</f>
        <v>4</v>
      </c>
      <c r="O194">
        <v>15</v>
      </c>
      <c r="P194" t="str">
        <f t="shared" si="14"/>
        <v>Yes</v>
      </c>
      <c r="Q194">
        <f>IF(Booking_Data[[#This Row],[Discounted Booking]]="Yes",1,0)</f>
        <v>1</v>
      </c>
      <c r="R194" t="s">
        <v>18</v>
      </c>
      <c r="S194">
        <f>IF(Booking_Data[[#This Row],[Cancellation Status]]="yes",1,0)</f>
        <v>1</v>
      </c>
    </row>
    <row r="195" spans="1:19" x14ac:dyDescent="0.35">
      <c r="A195" t="s">
        <v>415</v>
      </c>
      <c r="B195" t="s">
        <v>416</v>
      </c>
      <c r="C195" s="1">
        <v>45331</v>
      </c>
      <c r="D195" s="1">
        <v>45341</v>
      </c>
      <c r="E195" s="1">
        <v>45350</v>
      </c>
      <c r="F195" s="2">
        <f t="shared" si="15"/>
        <v>2</v>
      </c>
      <c r="G195" s="2" t="str">
        <f t="shared" si="16"/>
        <v>Friday</v>
      </c>
      <c r="H195" s="2" t="str">
        <f t="shared" si="17"/>
        <v>February</v>
      </c>
      <c r="I195" t="s">
        <v>35</v>
      </c>
      <c r="J195" t="s">
        <v>15</v>
      </c>
      <c r="K195" t="s">
        <v>58</v>
      </c>
      <c r="L195" t="s">
        <v>27</v>
      </c>
      <c r="M195">
        <v>1242.25</v>
      </c>
      <c r="N195">
        <f t="shared" si="18"/>
        <v>9</v>
      </c>
      <c r="O195">
        <v>10</v>
      </c>
      <c r="P195" t="str">
        <f t="shared" ref="P195:P258" si="19">IF(O195&gt;0, "Yes","No")</f>
        <v>Yes</v>
      </c>
      <c r="Q195">
        <f>IF(Booking_Data[[#This Row],[Discounted Booking]]="Yes",1,0)</f>
        <v>1</v>
      </c>
      <c r="R195" t="s">
        <v>18</v>
      </c>
      <c r="S195">
        <f>IF(Booking_Data[[#This Row],[Cancellation Status]]="yes",1,0)</f>
        <v>1</v>
      </c>
    </row>
    <row r="196" spans="1:19" x14ac:dyDescent="0.35">
      <c r="A196" t="s">
        <v>417</v>
      </c>
      <c r="B196" t="s">
        <v>418</v>
      </c>
      <c r="C196" s="1">
        <v>45331</v>
      </c>
      <c r="D196" s="1">
        <v>45349</v>
      </c>
      <c r="E196" s="1">
        <v>45354</v>
      </c>
      <c r="F196" s="2">
        <f t="shared" si="15"/>
        <v>2</v>
      </c>
      <c r="G196" s="2" t="str">
        <f t="shared" si="16"/>
        <v>Friday</v>
      </c>
      <c r="H196" s="2" t="str">
        <f t="shared" si="17"/>
        <v>February</v>
      </c>
      <c r="I196" t="s">
        <v>14</v>
      </c>
      <c r="J196" t="s">
        <v>36</v>
      </c>
      <c r="K196" t="s">
        <v>49</v>
      </c>
      <c r="L196" t="s">
        <v>23</v>
      </c>
      <c r="M196">
        <v>375.38</v>
      </c>
      <c r="N196">
        <f t="shared" si="18"/>
        <v>5</v>
      </c>
      <c r="O196">
        <v>10</v>
      </c>
      <c r="P196" t="str">
        <f t="shared" si="19"/>
        <v>Yes</v>
      </c>
      <c r="Q196">
        <f>IF(Booking_Data[[#This Row],[Discounted Booking]]="Yes",1,0)</f>
        <v>1</v>
      </c>
      <c r="R196" t="s">
        <v>24</v>
      </c>
      <c r="S196">
        <f>IF(Booking_Data[[#This Row],[Cancellation Status]]="yes",1,0)</f>
        <v>0</v>
      </c>
    </row>
    <row r="197" spans="1:19" x14ac:dyDescent="0.35">
      <c r="A197" t="s">
        <v>419</v>
      </c>
      <c r="B197" t="s">
        <v>420</v>
      </c>
      <c r="C197" s="1">
        <v>45331</v>
      </c>
      <c r="D197" s="1">
        <v>45353</v>
      </c>
      <c r="E197" s="1">
        <v>45362</v>
      </c>
      <c r="F197" s="2">
        <f t="shared" si="15"/>
        <v>2</v>
      </c>
      <c r="G197" s="2" t="str">
        <f t="shared" si="16"/>
        <v>Friday</v>
      </c>
      <c r="H197" s="2" t="str">
        <f t="shared" si="17"/>
        <v>February</v>
      </c>
      <c r="I197" t="s">
        <v>35</v>
      </c>
      <c r="J197" t="s">
        <v>36</v>
      </c>
      <c r="K197" t="s">
        <v>58</v>
      </c>
      <c r="L197" t="s">
        <v>17</v>
      </c>
      <c r="M197">
        <v>732.59</v>
      </c>
      <c r="N197">
        <f t="shared" si="18"/>
        <v>9</v>
      </c>
      <c r="O197">
        <v>5</v>
      </c>
      <c r="P197" t="str">
        <f t="shared" si="19"/>
        <v>Yes</v>
      </c>
      <c r="Q197">
        <f>IF(Booking_Data[[#This Row],[Discounted Booking]]="Yes",1,0)</f>
        <v>1</v>
      </c>
      <c r="R197" t="s">
        <v>18</v>
      </c>
      <c r="S197">
        <f>IF(Booking_Data[[#This Row],[Cancellation Status]]="yes",1,0)</f>
        <v>1</v>
      </c>
    </row>
    <row r="198" spans="1:19" x14ac:dyDescent="0.35">
      <c r="A198" t="s">
        <v>421</v>
      </c>
      <c r="B198" t="s">
        <v>422</v>
      </c>
      <c r="C198" s="1">
        <v>45331</v>
      </c>
      <c r="D198" s="1">
        <v>45348</v>
      </c>
      <c r="E198" s="1">
        <v>45351</v>
      </c>
      <c r="F198" s="2">
        <f t="shared" si="15"/>
        <v>2</v>
      </c>
      <c r="G198" s="2" t="str">
        <f t="shared" si="16"/>
        <v>Friday</v>
      </c>
      <c r="H198" s="2" t="str">
        <f t="shared" si="17"/>
        <v>February</v>
      </c>
      <c r="I198" t="s">
        <v>35</v>
      </c>
      <c r="J198" t="s">
        <v>15</v>
      </c>
      <c r="K198" t="s">
        <v>58</v>
      </c>
      <c r="L198" t="s">
        <v>17</v>
      </c>
      <c r="M198">
        <v>768.48</v>
      </c>
      <c r="N198">
        <f t="shared" si="18"/>
        <v>3</v>
      </c>
      <c r="O198">
        <v>0</v>
      </c>
      <c r="P198" t="str">
        <f t="shared" si="19"/>
        <v>No</v>
      </c>
      <c r="Q198">
        <f>IF(Booking_Data[[#This Row],[Discounted Booking]]="Yes",1,0)</f>
        <v>0</v>
      </c>
      <c r="R198" t="s">
        <v>24</v>
      </c>
      <c r="S198">
        <f>IF(Booking_Data[[#This Row],[Cancellation Status]]="yes",1,0)</f>
        <v>0</v>
      </c>
    </row>
    <row r="199" spans="1:19" x14ac:dyDescent="0.35">
      <c r="A199" t="s">
        <v>423</v>
      </c>
      <c r="B199" t="s">
        <v>424</v>
      </c>
      <c r="C199" s="1">
        <v>45332</v>
      </c>
      <c r="D199" s="1">
        <v>45345</v>
      </c>
      <c r="E199" s="1">
        <v>45353</v>
      </c>
      <c r="F199" s="2">
        <f t="shared" si="15"/>
        <v>2</v>
      </c>
      <c r="G199" s="2" t="str">
        <f t="shared" si="16"/>
        <v>Saturday</v>
      </c>
      <c r="H199" s="2" t="str">
        <f t="shared" si="17"/>
        <v>February</v>
      </c>
      <c r="I199" t="s">
        <v>30</v>
      </c>
      <c r="J199" t="s">
        <v>31</v>
      </c>
      <c r="K199" t="s">
        <v>32</v>
      </c>
      <c r="L199" t="s">
        <v>27</v>
      </c>
      <c r="M199">
        <v>1423.91</v>
      </c>
      <c r="N199">
        <f t="shared" si="18"/>
        <v>8</v>
      </c>
      <c r="O199">
        <v>20</v>
      </c>
      <c r="P199" t="str">
        <f t="shared" si="19"/>
        <v>Yes</v>
      </c>
      <c r="Q199">
        <f>IF(Booking_Data[[#This Row],[Discounted Booking]]="Yes",1,0)</f>
        <v>1</v>
      </c>
      <c r="R199" t="s">
        <v>24</v>
      </c>
      <c r="S199">
        <f>IF(Booking_Data[[#This Row],[Cancellation Status]]="yes",1,0)</f>
        <v>0</v>
      </c>
    </row>
    <row r="200" spans="1:19" x14ac:dyDescent="0.35">
      <c r="A200" t="s">
        <v>425</v>
      </c>
      <c r="B200" t="s">
        <v>426</v>
      </c>
      <c r="C200" s="1">
        <v>45332</v>
      </c>
      <c r="D200" s="1">
        <v>45350</v>
      </c>
      <c r="E200" s="1">
        <v>45360</v>
      </c>
      <c r="F200" s="2">
        <f t="shared" si="15"/>
        <v>2</v>
      </c>
      <c r="G200" s="2" t="str">
        <f t="shared" si="16"/>
        <v>Saturday</v>
      </c>
      <c r="H200" s="2" t="str">
        <f t="shared" si="17"/>
        <v>February</v>
      </c>
      <c r="I200" t="s">
        <v>35</v>
      </c>
      <c r="J200" t="s">
        <v>21</v>
      </c>
      <c r="K200" t="s">
        <v>49</v>
      </c>
      <c r="L200" t="s">
        <v>17</v>
      </c>
      <c r="M200">
        <v>378.33</v>
      </c>
      <c r="N200">
        <f t="shared" si="18"/>
        <v>10</v>
      </c>
      <c r="O200">
        <v>20</v>
      </c>
      <c r="P200" t="str">
        <f t="shared" si="19"/>
        <v>Yes</v>
      </c>
      <c r="Q200">
        <f>IF(Booking_Data[[#This Row],[Discounted Booking]]="Yes",1,0)</f>
        <v>1</v>
      </c>
      <c r="R200" t="s">
        <v>24</v>
      </c>
      <c r="S200">
        <f>IF(Booking_Data[[#This Row],[Cancellation Status]]="yes",1,0)</f>
        <v>0</v>
      </c>
    </row>
    <row r="201" spans="1:19" x14ac:dyDescent="0.35">
      <c r="A201" t="s">
        <v>427</v>
      </c>
      <c r="B201" t="s">
        <v>428</v>
      </c>
      <c r="C201" s="1">
        <v>45332</v>
      </c>
      <c r="D201" s="1">
        <v>45347</v>
      </c>
      <c r="E201" s="1">
        <v>45348</v>
      </c>
      <c r="F201" s="2">
        <f t="shared" si="15"/>
        <v>2</v>
      </c>
      <c r="G201" s="2" t="str">
        <f t="shared" si="16"/>
        <v>Saturday</v>
      </c>
      <c r="H201" s="2" t="str">
        <f t="shared" si="17"/>
        <v>February</v>
      </c>
      <c r="I201" t="s">
        <v>35</v>
      </c>
      <c r="J201" t="s">
        <v>31</v>
      </c>
      <c r="K201" t="s">
        <v>58</v>
      </c>
      <c r="L201" t="s">
        <v>37</v>
      </c>
      <c r="M201">
        <v>294.3</v>
      </c>
      <c r="N201">
        <f t="shared" si="18"/>
        <v>1</v>
      </c>
      <c r="O201">
        <v>5</v>
      </c>
      <c r="P201" t="str">
        <f t="shared" si="19"/>
        <v>Yes</v>
      </c>
      <c r="Q201">
        <f>IF(Booking_Data[[#This Row],[Discounted Booking]]="Yes",1,0)</f>
        <v>1</v>
      </c>
      <c r="R201" t="s">
        <v>18</v>
      </c>
      <c r="S201">
        <f>IF(Booking_Data[[#This Row],[Cancellation Status]]="yes",1,0)</f>
        <v>1</v>
      </c>
    </row>
    <row r="202" spans="1:19" x14ac:dyDescent="0.35">
      <c r="A202" t="s">
        <v>429</v>
      </c>
      <c r="B202" t="s">
        <v>430</v>
      </c>
      <c r="C202" s="1">
        <v>45332</v>
      </c>
      <c r="D202" s="1">
        <v>45346</v>
      </c>
      <c r="E202" s="1">
        <v>45354</v>
      </c>
      <c r="F202" s="2">
        <f t="shared" si="15"/>
        <v>2</v>
      </c>
      <c r="G202" s="2" t="str">
        <f t="shared" si="16"/>
        <v>Saturday</v>
      </c>
      <c r="H202" s="2" t="str">
        <f t="shared" si="17"/>
        <v>February</v>
      </c>
      <c r="I202" t="s">
        <v>30</v>
      </c>
      <c r="J202" t="s">
        <v>15</v>
      </c>
      <c r="K202" t="s">
        <v>42</v>
      </c>
      <c r="L202" t="s">
        <v>17</v>
      </c>
      <c r="M202">
        <v>1280.1400000000001</v>
      </c>
      <c r="N202">
        <f t="shared" si="18"/>
        <v>8</v>
      </c>
      <c r="O202">
        <v>15</v>
      </c>
      <c r="P202" t="str">
        <f t="shared" si="19"/>
        <v>Yes</v>
      </c>
      <c r="Q202">
        <f>IF(Booking_Data[[#This Row],[Discounted Booking]]="Yes",1,0)</f>
        <v>1</v>
      </c>
      <c r="R202" t="s">
        <v>18</v>
      </c>
      <c r="S202">
        <f>IF(Booking_Data[[#This Row],[Cancellation Status]]="yes",1,0)</f>
        <v>1</v>
      </c>
    </row>
    <row r="203" spans="1:19" x14ac:dyDescent="0.35">
      <c r="A203" t="s">
        <v>431</v>
      </c>
      <c r="B203" t="s">
        <v>432</v>
      </c>
      <c r="C203" s="1">
        <v>45332</v>
      </c>
      <c r="D203" s="1">
        <v>45347</v>
      </c>
      <c r="E203" s="1">
        <v>45357</v>
      </c>
      <c r="F203" s="2">
        <f t="shared" si="15"/>
        <v>2</v>
      </c>
      <c r="G203" s="2" t="str">
        <f t="shared" si="16"/>
        <v>Saturday</v>
      </c>
      <c r="H203" s="2" t="str">
        <f t="shared" si="17"/>
        <v>February</v>
      </c>
      <c r="I203" t="s">
        <v>14</v>
      </c>
      <c r="J203" t="s">
        <v>36</v>
      </c>
      <c r="K203" t="s">
        <v>42</v>
      </c>
      <c r="L203" t="s">
        <v>17</v>
      </c>
      <c r="M203">
        <v>1082.78</v>
      </c>
      <c r="N203">
        <f t="shared" si="18"/>
        <v>10</v>
      </c>
      <c r="O203">
        <v>15</v>
      </c>
      <c r="P203" t="str">
        <f t="shared" si="19"/>
        <v>Yes</v>
      </c>
      <c r="Q203">
        <f>IF(Booking_Data[[#This Row],[Discounted Booking]]="Yes",1,0)</f>
        <v>1</v>
      </c>
      <c r="R203" t="s">
        <v>24</v>
      </c>
      <c r="S203">
        <f>IF(Booking_Data[[#This Row],[Cancellation Status]]="yes",1,0)</f>
        <v>0</v>
      </c>
    </row>
    <row r="204" spans="1:19" x14ac:dyDescent="0.35">
      <c r="A204" t="s">
        <v>433</v>
      </c>
      <c r="B204" t="s">
        <v>434</v>
      </c>
      <c r="C204" s="1">
        <v>45333</v>
      </c>
      <c r="D204" s="1">
        <v>45347</v>
      </c>
      <c r="E204" s="1">
        <v>45349</v>
      </c>
      <c r="F204" s="2">
        <f t="shared" si="15"/>
        <v>3</v>
      </c>
      <c r="G204" s="2" t="str">
        <f t="shared" si="16"/>
        <v>Sunday</v>
      </c>
      <c r="H204" s="2" t="str">
        <f t="shared" si="17"/>
        <v>February</v>
      </c>
      <c r="I204" t="s">
        <v>35</v>
      </c>
      <c r="J204" t="s">
        <v>15</v>
      </c>
      <c r="K204" t="s">
        <v>16</v>
      </c>
      <c r="L204" t="s">
        <v>17</v>
      </c>
      <c r="M204">
        <v>673.63</v>
      </c>
      <c r="N204">
        <f t="shared" si="18"/>
        <v>2</v>
      </c>
      <c r="O204">
        <v>10</v>
      </c>
      <c r="P204" t="str">
        <f t="shared" si="19"/>
        <v>Yes</v>
      </c>
      <c r="Q204">
        <f>IF(Booking_Data[[#This Row],[Discounted Booking]]="Yes",1,0)</f>
        <v>1</v>
      </c>
      <c r="R204" t="s">
        <v>18</v>
      </c>
      <c r="S204">
        <f>IF(Booking_Data[[#This Row],[Cancellation Status]]="yes",1,0)</f>
        <v>1</v>
      </c>
    </row>
    <row r="205" spans="1:19" x14ac:dyDescent="0.35">
      <c r="A205" t="s">
        <v>435</v>
      </c>
      <c r="B205" t="s">
        <v>436</v>
      </c>
      <c r="C205" s="1">
        <v>45333</v>
      </c>
      <c r="D205" s="1">
        <v>45354</v>
      </c>
      <c r="E205" s="1">
        <v>45357</v>
      </c>
      <c r="F205" s="2">
        <f t="shared" si="15"/>
        <v>3</v>
      </c>
      <c r="G205" s="2" t="str">
        <f t="shared" si="16"/>
        <v>Sunday</v>
      </c>
      <c r="H205" s="2" t="str">
        <f t="shared" si="17"/>
        <v>February</v>
      </c>
      <c r="I205" t="s">
        <v>30</v>
      </c>
      <c r="J205" t="s">
        <v>15</v>
      </c>
      <c r="K205" t="s">
        <v>42</v>
      </c>
      <c r="L205" t="s">
        <v>17</v>
      </c>
      <c r="M205">
        <v>976.81</v>
      </c>
      <c r="N205">
        <f t="shared" si="18"/>
        <v>3</v>
      </c>
      <c r="O205">
        <v>20</v>
      </c>
      <c r="P205" t="str">
        <f t="shared" si="19"/>
        <v>Yes</v>
      </c>
      <c r="Q205">
        <f>IF(Booking_Data[[#This Row],[Discounted Booking]]="Yes",1,0)</f>
        <v>1</v>
      </c>
      <c r="R205" t="s">
        <v>24</v>
      </c>
      <c r="S205">
        <f>IF(Booking_Data[[#This Row],[Cancellation Status]]="yes",1,0)</f>
        <v>0</v>
      </c>
    </row>
    <row r="206" spans="1:19" x14ac:dyDescent="0.35">
      <c r="A206" t="s">
        <v>437</v>
      </c>
      <c r="B206" t="s">
        <v>438</v>
      </c>
      <c r="C206" s="1">
        <v>45334</v>
      </c>
      <c r="D206" s="1">
        <v>45339</v>
      </c>
      <c r="E206" s="1">
        <v>45344</v>
      </c>
      <c r="F206" s="2">
        <f t="shared" si="15"/>
        <v>3</v>
      </c>
      <c r="G206" s="2" t="str">
        <f t="shared" si="16"/>
        <v>Monday</v>
      </c>
      <c r="H206" s="2" t="str">
        <f t="shared" si="17"/>
        <v>February</v>
      </c>
      <c r="I206" t="s">
        <v>35</v>
      </c>
      <c r="J206" t="s">
        <v>31</v>
      </c>
      <c r="K206" t="s">
        <v>16</v>
      </c>
      <c r="L206" t="s">
        <v>17</v>
      </c>
      <c r="M206">
        <v>746.54</v>
      </c>
      <c r="N206">
        <f t="shared" si="18"/>
        <v>5</v>
      </c>
      <c r="O206">
        <v>5</v>
      </c>
      <c r="P206" t="str">
        <f t="shared" si="19"/>
        <v>Yes</v>
      </c>
      <c r="Q206">
        <f>IF(Booking_Data[[#This Row],[Discounted Booking]]="Yes",1,0)</f>
        <v>1</v>
      </c>
      <c r="R206" t="s">
        <v>18</v>
      </c>
      <c r="S206">
        <f>IF(Booking_Data[[#This Row],[Cancellation Status]]="yes",1,0)</f>
        <v>1</v>
      </c>
    </row>
    <row r="207" spans="1:19" x14ac:dyDescent="0.35">
      <c r="A207" t="s">
        <v>439</v>
      </c>
      <c r="B207" t="s">
        <v>440</v>
      </c>
      <c r="C207" s="1">
        <v>45334</v>
      </c>
      <c r="D207" s="1">
        <v>45345</v>
      </c>
      <c r="E207" s="1">
        <v>45354</v>
      </c>
      <c r="F207" s="2">
        <f t="shared" si="15"/>
        <v>3</v>
      </c>
      <c r="G207" s="2" t="str">
        <f t="shared" si="16"/>
        <v>Monday</v>
      </c>
      <c r="H207" s="2" t="str">
        <f t="shared" si="17"/>
        <v>February</v>
      </c>
      <c r="I207" t="s">
        <v>35</v>
      </c>
      <c r="J207" t="s">
        <v>15</v>
      </c>
      <c r="K207" t="s">
        <v>42</v>
      </c>
      <c r="L207" t="s">
        <v>17</v>
      </c>
      <c r="M207">
        <v>514.79999999999995</v>
      </c>
      <c r="N207">
        <f t="shared" si="18"/>
        <v>9</v>
      </c>
      <c r="O207">
        <v>10</v>
      </c>
      <c r="P207" t="str">
        <f t="shared" si="19"/>
        <v>Yes</v>
      </c>
      <c r="Q207">
        <f>IF(Booking_Data[[#This Row],[Discounted Booking]]="Yes",1,0)</f>
        <v>1</v>
      </c>
      <c r="R207" t="s">
        <v>24</v>
      </c>
      <c r="S207">
        <f>IF(Booking_Data[[#This Row],[Cancellation Status]]="yes",1,0)</f>
        <v>0</v>
      </c>
    </row>
    <row r="208" spans="1:19" x14ac:dyDescent="0.35">
      <c r="A208" t="s">
        <v>441</v>
      </c>
      <c r="B208" t="s">
        <v>442</v>
      </c>
      <c r="C208" s="1">
        <v>45334</v>
      </c>
      <c r="D208" s="1">
        <v>45345</v>
      </c>
      <c r="E208" s="1">
        <v>45350</v>
      </c>
      <c r="F208" s="2">
        <f t="shared" si="15"/>
        <v>3</v>
      </c>
      <c r="G208" s="2" t="str">
        <f t="shared" si="16"/>
        <v>Monday</v>
      </c>
      <c r="H208" s="2" t="str">
        <f t="shared" si="17"/>
        <v>February</v>
      </c>
      <c r="I208" t="s">
        <v>14</v>
      </c>
      <c r="J208" t="s">
        <v>21</v>
      </c>
      <c r="K208" t="s">
        <v>49</v>
      </c>
      <c r="L208" t="s">
        <v>17</v>
      </c>
      <c r="M208">
        <v>665.56</v>
      </c>
      <c r="N208">
        <f t="shared" si="18"/>
        <v>5</v>
      </c>
      <c r="O208">
        <v>5</v>
      </c>
      <c r="P208" t="str">
        <f t="shared" si="19"/>
        <v>Yes</v>
      </c>
      <c r="Q208">
        <f>IF(Booking_Data[[#This Row],[Discounted Booking]]="Yes",1,0)</f>
        <v>1</v>
      </c>
      <c r="R208" t="s">
        <v>18</v>
      </c>
      <c r="S208">
        <f>IF(Booking_Data[[#This Row],[Cancellation Status]]="yes",1,0)</f>
        <v>1</v>
      </c>
    </row>
    <row r="209" spans="1:19" x14ac:dyDescent="0.35">
      <c r="A209" t="s">
        <v>443</v>
      </c>
      <c r="B209" t="s">
        <v>444</v>
      </c>
      <c r="C209" s="1">
        <v>45334</v>
      </c>
      <c r="D209" s="1">
        <v>45362</v>
      </c>
      <c r="E209" s="1">
        <v>45371</v>
      </c>
      <c r="F209" s="2">
        <f t="shared" si="15"/>
        <v>3</v>
      </c>
      <c r="G209" s="2" t="str">
        <f t="shared" si="16"/>
        <v>Monday</v>
      </c>
      <c r="H209" s="2" t="str">
        <f t="shared" si="17"/>
        <v>February</v>
      </c>
      <c r="I209" t="s">
        <v>14</v>
      </c>
      <c r="J209" t="s">
        <v>36</v>
      </c>
      <c r="K209" t="s">
        <v>16</v>
      </c>
      <c r="L209" t="s">
        <v>27</v>
      </c>
      <c r="M209">
        <v>496.3</v>
      </c>
      <c r="N209">
        <f t="shared" si="18"/>
        <v>9</v>
      </c>
      <c r="O209">
        <v>5</v>
      </c>
      <c r="P209" t="str">
        <f t="shared" si="19"/>
        <v>Yes</v>
      </c>
      <c r="Q209">
        <f>IF(Booking_Data[[#This Row],[Discounted Booking]]="Yes",1,0)</f>
        <v>1</v>
      </c>
      <c r="R209" t="s">
        <v>18</v>
      </c>
      <c r="S209">
        <f>IF(Booking_Data[[#This Row],[Cancellation Status]]="yes",1,0)</f>
        <v>1</v>
      </c>
    </row>
    <row r="210" spans="1:19" x14ac:dyDescent="0.35">
      <c r="A210" t="s">
        <v>445</v>
      </c>
      <c r="B210" t="s">
        <v>446</v>
      </c>
      <c r="C210" s="1">
        <v>45334</v>
      </c>
      <c r="D210" s="1">
        <v>45364</v>
      </c>
      <c r="E210" s="1">
        <v>45371</v>
      </c>
      <c r="F210" s="2">
        <f t="shared" si="15"/>
        <v>3</v>
      </c>
      <c r="G210" s="2" t="str">
        <f t="shared" si="16"/>
        <v>Monday</v>
      </c>
      <c r="H210" s="2" t="str">
        <f t="shared" si="17"/>
        <v>February</v>
      </c>
      <c r="I210" t="s">
        <v>14</v>
      </c>
      <c r="J210" t="s">
        <v>36</v>
      </c>
      <c r="K210" t="s">
        <v>58</v>
      </c>
      <c r="L210" t="s">
        <v>27</v>
      </c>
      <c r="M210">
        <v>820.76</v>
      </c>
      <c r="N210">
        <f t="shared" si="18"/>
        <v>7</v>
      </c>
      <c r="O210">
        <v>25</v>
      </c>
      <c r="P210" t="str">
        <f t="shared" si="19"/>
        <v>Yes</v>
      </c>
      <c r="Q210">
        <f>IF(Booking_Data[[#This Row],[Discounted Booking]]="Yes",1,0)</f>
        <v>1</v>
      </c>
      <c r="R210" t="s">
        <v>24</v>
      </c>
      <c r="S210">
        <f>IF(Booking_Data[[#This Row],[Cancellation Status]]="yes",1,0)</f>
        <v>0</v>
      </c>
    </row>
    <row r="211" spans="1:19" x14ac:dyDescent="0.35">
      <c r="A211" t="s">
        <v>447</v>
      </c>
      <c r="B211" t="s">
        <v>448</v>
      </c>
      <c r="C211" s="1">
        <v>45334</v>
      </c>
      <c r="D211" s="1">
        <v>45350</v>
      </c>
      <c r="E211" s="1">
        <v>45358</v>
      </c>
      <c r="F211" s="2">
        <f t="shared" si="15"/>
        <v>3</v>
      </c>
      <c r="G211" s="2" t="str">
        <f t="shared" si="16"/>
        <v>Monday</v>
      </c>
      <c r="H211" s="2" t="str">
        <f t="shared" si="17"/>
        <v>February</v>
      </c>
      <c r="I211" t="s">
        <v>35</v>
      </c>
      <c r="J211" t="s">
        <v>21</v>
      </c>
      <c r="K211" t="s">
        <v>16</v>
      </c>
      <c r="L211" t="s">
        <v>23</v>
      </c>
      <c r="M211">
        <v>391.74</v>
      </c>
      <c r="N211">
        <f t="shared" si="18"/>
        <v>8</v>
      </c>
      <c r="O211">
        <v>10</v>
      </c>
      <c r="P211" t="str">
        <f t="shared" si="19"/>
        <v>Yes</v>
      </c>
      <c r="Q211">
        <f>IF(Booking_Data[[#This Row],[Discounted Booking]]="Yes",1,0)</f>
        <v>1</v>
      </c>
      <c r="R211" t="s">
        <v>24</v>
      </c>
      <c r="S211">
        <f>IF(Booking_Data[[#This Row],[Cancellation Status]]="yes",1,0)</f>
        <v>0</v>
      </c>
    </row>
    <row r="212" spans="1:19" x14ac:dyDescent="0.35">
      <c r="A212" t="s">
        <v>449</v>
      </c>
      <c r="B212" t="s">
        <v>450</v>
      </c>
      <c r="C212" s="1">
        <v>45335</v>
      </c>
      <c r="D212" s="1">
        <v>45359</v>
      </c>
      <c r="E212" s="1">
        <v>45365</v>
      </c>
      <c r="F212" s="2">
        <f t="shared" si="15"/>
        <v>3</v>
      </c>
      <c r="G212" s="2" t="str">
        <f t="shared" si="16"/>
        <v>Tuesday</v>
      </c>
      <c r="H212" s="2" t="str">
        <f t="shared" si="17"/>
        <v>February</v>
      </c>
      <c r="I212" t="s">
        <v>35</v>
      </c>
      <c r="J212" t="s">
        <v>31</v>
      </c>
      <c r="K212" t="s">
        <v>16</v>
      </c>
      <c r="L212" t="s">
        <v>23</v>
      </c>
      <c r="M212">
        <v>363.17</v>
      </c>
      <c r="N212">
        <f t="shared" si="18"/>
        <v>6</v>
      </c>
      <c r="O212">
        <v>25</v>
      </c>
      <c r="P212" t="str">
        <f t="shared" si="19"/>
        <v>Yes</v>
      </c>
      <c r="Q212">
        <f>IF(Booking_Data[[#This Row],[Discounted Booking]]="Yes",1,0)</f>
        <v>1</v>
      </c>
      <c r="R212" t="s">
        <v>24</v>
      </c>
      <c r="S212">
        <f>IF(Booking_Data[[#This Row],[Cancellation Status]]="yes",1,0)</f>
        <v>0</v>
      </c>
    </row>
    <row r="213" spans="1:19" x14ac:dyDescent="0.35">
      <c r="A213" t="s">
        <v>451</v>
      </c>
      <c r="B213" t="s">
        <v>452</v>
      </c>
      <c r="C213" s="1">
        <v>45335</v>
      </c>
      <c r="D213" s="1">
        <v>45357</v>
      </c>
      <c r="E213" s="1">
        <v>45358</v>
      </c>
      <c r="F213" s="2">
        <f t="shared" si="15"/>
        <v>3</v>
      </c>
      <c r="G213" s="2" t="str">
        <f t="shared" si="16"/>
        <v>Tuesday</v>
      </c>
      <c r="H213" s="2" t="str">
        <f t="shared" si="17"/>
        <v>February</v>
      </c>
      <c r="I213" t="s">
        <v>14</v>
      </c>
      <c r="J213" t="s">
        <v>36</v>
      </c>
      <c r="K213" t="s">
        <v>32</v>
      </c>
      <c r="L213" t="s">
        <v>17</v>
      </c>
      <c r="M213">
        <v>1166.56</v>
      </c>
      <c r="N213">
        <f t="shared" si="18"/>
        <v>1</v>
      </c>
      <c r="O213">
        <v>5</v>
      </c>
      <c r="P213" t="str">
        <f t="shared" si="19"/>
        <v>Yes</v>
      </c>
      <c r="Q213">
        <f>IF(Booking_Data[[#This Row],[Discounted Booking]]="Yes",1,0)</f>
        <v>1</v>
      </c>
      <c r="R213" t="s">
        <v>24</v>
      </c>
      <c r="S213">
        <f>IF(Booking_Data[[#This Row],[Cancellation Status]]="yes",1,0)</f>
        <v>0</v>
      </c>
    </row>
    <row r="214" spans="1:19" x14ac:dyDescent="0.35">
      <c r="A214" t="s">
        <v>453</v>
      </c>
      <c r="B214" t="s">
        <v>454</v>
      </c>
      <c r="C214" s="1">
        <v>45335</v>
      </c>
      <c r="D214" s="1">
        <v>45344</v>
      </c>
      <c r="E214" s="1">
        <v>45346</v>
      </c>
      <c r="F214" s="2">
        <f t="shared" si="15"/>
        <v>3</v>
      </c>
      <c r="G214" s="2" t="str">
        <f t="shared" si="16"/>
        <v>Tuesday</v>
      </c>
      <c r="H214" s="2" t="str">
        <f t="shared" si="17"/>
        <v>February</v>
      </c>
      <c r="I214" t="s">
        <v>30</v>
      </c>
      <c r="J214" t="s">
        <v>31</v>
      </c>
      <c r="K214" t="s">
        <v>58</v>
      </c>
      <c r="L214" t="s">
        <v>17</v>
      </c>
      <c r="M214">
        <v>302.26</v>
      </c>
      <c r="N214">
        <f t="shared" si="18"/>
        <v>2</v>
      </c>
      <c r="O214">
        <v>20</v>
      </c>
      <c r="P214" t="str">
        <f t="shared" si="19"/>
        <v>Yes</v>
      </c>
      <c r="Q214">
        <f>IF(Booking_Data[[#This Row],[Discounted Booking]]="Yes",1,0)</f>
        <v>1</v>
      </c>
      <c r="R214" t="s">
        <v>24</v>
      </c>
      <c r="S214">
        <f>IF(Booking_Data[[#This Row],[Cancellation Status]]="yes",1,0)</f>
        <v>0</v>
      </c>
    </row>
    <row r="215" spans="1:19" x14ac:dyDescent="0.35">
      <c r="A215" t="s">
        <v>455</v>
      </c>
      <c r="B215" t="s">
        <v>456</v>
      </c>
      <c r="C215" s="1">
        <v>45335</v>
      </c>
      <c r="D215" s="1">
        <v>45341</v>
      </c>
      <c r="E215" s="1">
        <v>45343</v>
      </c>
      <c r="F215" s="2">
        <f t="shared" si="15"/>
        <v>3</v>
      </c>
      <c r="G215" s="2" t="str">
        <f t="shared" si="16"/>
        <v>Tuesday</v>
      </c>
      <c r="H215" s="2" t="str">
        <f t="shared" si="17"/>
        <v>February</v>
      </c>
      <c r="I215" t="s">
        <v>30</v>
      </c>
      <c r="J215" t="s">
        <v>36</v>
      </c>
      <c r="K215" t="s">
        <v>58</v>
      </c>
      <c r="L215" t="s">
        <v>37</v>
      </c>
      <c r="M215">
        <v>236.37</v>
      </c>
      <c r="N215">
        <f t="shared" si="18"/>
        <v>2</v>
      </c>
      <c r="O215">
        <v>25</v>
      </c>
      <c r="P215" t="str">
        <f t="shared" si="19"/>
        <v>Yes</v>
      </c>
      <c r="Q215">
        <f>IF(Booking_Data[[#This Row],[Discounted Booking]]="Yes",1,0)</f>
        <v>1</v>
      </c>
      <c r="R215" t="s">
        <v>18</v>
      </c>
      <c r="S215">
        <f>IF(Booking_Data[[#This Row],[Cancellation Status]]="yes",1,0)</f>
        <v>1</v>
      </c>
    </row>
    <row r="216" spans="1:19" x14ac:dyDescent="0.35">
      <c r="A216" t="s">
        <v>457</v>
      </c>
      <c r="B216" t="s">
        <v>458</v>
      </c>
      <c r="C216" s="1">
        <v>45335</v>
      </c>
      <c r="D216" s="1">
        <v>45345</v>
      </c>
      <c r="E216" s="1">
        <v>45347</v>
      </c>
      <c r="F216" s="2">
        <f t="shared" si="15"/>
        <v>3</v>
      </c>
      <c r="G216" s="2" t="str">
        <f t="shared" si="16"/>
        <v>Tuesday</v>
      </c>
      <c r="H216" s="2" t="str">
        <f t="shared" si="17"/>
        <v>February</v>
      </c>
      <c r="I216" t="s">
        <v>14</v>
      </c>
      <c r="J216" t="s">
        <v>15</v>
      </c>
      <c r="K216" t="s">
        <v>49</v>
      </c>
      <c r="L216" t="s">
        <v>37</v>
      </c>
      <c r="M216">
        <v>253.54</v>
      </c>
      <c r="N216">
        <f t="shared" si="18"/>
        <v>2</v>
      </c>
      <c r="O216">
        <v>25</v>
      </c>
      <c r="P216" t="str">
        <f t="shared" si="19"/>
        <v>Yes</v>
      </c>
      <c r="Q216">
        <f>IF(Booking_Data[[#This Row],[Discounted Booking]]="Yes",1,0)</f>
        <v>1</v>
      </c>
      <c r="R216" t="s">
        <v>24</v>
      </c>
      <c r="S216">
        <f>IF(Booking_Data[[#This Row],[Cancellation Status]]="yes",1,0)</f>
        <v>0</v>
      </c>
    </row>
    <row r="217" spans="1:19" x14ac:dyDescent="0.35">
      <c r="A217" t="s">
        <v>459</v>
      </c>
      <c r="B217" t="s">
        <v>460</v>
      </c>
      <c r="C217" s="1">
        <v>45335</v>
      </c>
      <c r="D217" s="1">
        <v>45353</v>
      </c>
      <c r="E217" s="1">
        <v>45361</v>
      </c>
      <c r="F217" s="2">
        <f t="shared" si="15"/>
        <v>3</v>
      </c>
      <c r="G217" s="2" t="str">
        <f t="shared" si="16"/>
        <v>Tuesday</v>
      </c>
      <c r="H217" s="2" t="str">
        <f t="shared" si="17"/>
        <v>February</v>
      </c>
      <c r="I217" t="s">
        <v>30</v>
      </c>
      <c r="J217" t="s">
        <v>15</v>
      </c>
      <c r="K217" t="s">
        <v>58</v>
      </c>
      <c r="L217" t="s">
        <v>23</v>
      </c>
      <c r="M217">
        <v>538.92999999999995</v>
      </c>
      <c r="N217">
        <f t="shared" si="18"/>
        <v>8</v>
      </c>
      <c r="O217">
        <v>10</v>
      </c>
      <c r="P217" t="str">
        <f t="shared" si="19"/>
        <v>Yes</v>
      </c>
      <c r="Q217">
        <f>IF(Booking_Data[[#This Row],[Discounted Booking]]="Yes",1,0)</f>
        <v>1</v>
      </c>
      <c r="R217" t="s">
        <v>24</v>
      </c>
      <c r="S217">
        <f>IF(Booking_Data[[#This Row],[Cancellation Status]]="yes",1,0)</f>
        <v>0</v>
      </c>
    </row>
    <row r="218" spans="1:19" x14ac:dyDescent="0.35">
      <c r="A218" t="s">
        <v>461</v>
      </c>
      <c r="B218" t="s">
        <v>106</v>
      </c>
      <c r="C218" s="1">
        <v>45336</v>
      </c>
      <c r="D218" s="1">
        <v>45358</v>
      </c>
      <c r="E218" s="1">
        <v>45359</v>
      </c>
      <c r="F218" s="2">
        <f t="shared" si="15"/>
        <v>3</v>
      </c>
      <c r="G218" s="2" t="str">
        <f t="shared" si="16"/>
        <v>Wednesday</v>
      </c>
      <c r="H218" s="2" t="str">
        <f t="shared" si="17"/>
        <v>February</v>
      </c>
      <c r="I218" t="s">
        <v>30</v>
      </c>
      <c r="J218" t="s">
        <v>15</v>
      </c>
      <c r="K218" t="s">
        <v>16</v>
      </c>
      <c r="L218" t="s">
        <v>37</v>
      </c>
      <c r="M218">
        <v>782.33</v>
      </c>
      <c r="N218">
        <f t="shared" si="18"/>
        <v>1</v>
      </c>
      <c r="O218">
        <v>10</v>
      </c>
      <c r="P218" t="str">
        <f t="shared" si="19"/>
        <v>Yes</v>
      </c>
      <c r="Q218">
        <f>IF(Booking_Data[[#This Row],[Discounted Booking]]="Yes",1,0)</f>
        <v>1</v>
      </c>
      <c r="R218" t="s">
        <v>18</v>
      </c>
      <c r="S218">
        <f>IF(Booking_Data[[#This Row],[Cancellation Status]]="yes",1,0)</f>
        <v>1</v>
      </c>
    </row>
    <row r="219" spans="1:19" x14ac:dyDescent="0.35">
      <c r="A219" t="s">
        <v>462</v>
      </c>
      <c r="B219" t="s">
        <v>463</v>
      </c>
      <c r="C219" s="1">
        <v>45336</v>
      </c>
      <c r="D219" s="1">
        <v>45358</v>
      </c>
      <c r="E219" s="1">
        <v>45368</v>
      </c>
      <c r="F219" s="2">
        <f t="shared" si="15"/>
        <v>3</v>
      </c>
      <c r="G219" s="2" t="str">
        <f t="shared" si="16"/>
        <v>Wednesday</v>
      </c>
      <c r="H219" s="2" t="str">
        <f t="shared" si="17"/>
        <v>February</v>
      </c>
      <c r="I219" t="s">
        <v>35</v>
      </c>
      <c r="J219" t="s">
        <v>36</v>
      </c>
      <c r="K219" t="s">
        <v>49</v>
      </c>
      <c r="L219" t="s">
        <v>37</v>
      </c>
      <c r="M219">
        <v>1047.53</v>
      </c>
      <c r="N219">
        <f t="shared" si="18"/>
        <v>10</v>
      </c>
      <c r="O219">
        <v>15</v>
      </c>
      <c r="P219" t="str">
        <f t="shared" si="19"/>
        <v>Yes</v>
      </c>
      <c r="Q219">
        <f>IF(Booking_Data[[#This Row],[Discounted Booking]]="Yes",1,0)</f>
        <v>1</v>
      </c>
      <c r="R219" t="s">
        <v>18</v>
      </c>
      <c r="S219">
        <f>IF(Booking_Data[[#This Row],[Cancellation Status]]="yes",1,0)</f>
        <v>1</v>
      </c>
    </row>
    <row r="220" spans="1:19" x14ac:dyDescent="0.35">
      <c r="A220" t="s">
        <v>464</v>
      </c>
      <c r="B220" t="s">
        <v>465</v>
      </c>
      <c r="C220" s="1">
        <v>45336</v>
      </c>
      <c r="D220" s="1">
        <v>45364</v>
      </c>
      <c r="E220" s="1">
        <v>45374</v>
      </c>
      <c r="F220" s="2">
        <f t="shared" si="15"/>
        <v>3</v>
      </c>
      <c r="G220" s="2" t="str">
        <f t="shared" si="16"/>
        <v>Wednesday</v>
      </c>
      <c r="H220" s="2" t="str">
        <f t="shared" si="17"/>
        <v>February</v>
      </c>
      <c r="I220" t="s">
        <v>30</v>
      </c>
      <c r="J220" t="s">
        <v>21</v>
      </c>
      <c r="K220" t="s">
        <v>58</v>
      </c>
      <c r="L220" t="s">
        <v>37</v>
      </c>
      <c r="M220">
        <v>222.51</v>
      </c>
      <c r="N220">
        <f t="shared" si="18"/>
        <v>10</v>
      </c>
      <c r="O220">
        <v>0</v>
      </c>
      <c r="P220" t="str">
        <f t="shared" si="19"/>
        <v>No</v>
      </c>
      <c r="Q220">
        <f>IF(Booking_Data[[#This Row],[Discounted Booking]]="Yes",1,0)</f>
        <v>0</v>
      </c>
      <c r="R220" t="s">
        <v>18</v>
      </c>
      <c r="S220">
        <f>IF(Booking_Data[[#This Row],[Cancellation Status]]="yes",1,0)</f>
        <v>1</v>
      </c>
    </row>
    <row r="221" spans="1:19" x14ac:dyDescent="0.35">
      <c r="A221" t="s">
        <v>466</v>
      </c>
      <c r="B221" t="s">
        <v>467</v>
      </c>
      <c r="C221" s="1">
        <v>45336</v>
      </c>
      <c r="D221" s="1">
        <v>45366</v>
      </c>
      <c r="E221" s="1">
        <v>45373</v>
      </c>
      <c r="F221" s="2">
        <f t="shared" si="15"/>
        <v>3</v>
      </c>
      <c r="G221" s="2" t="str">
        <f t="shared" si="16"/>
        <v>Wednesday</v>
      </c>
      <c r="H221" s="2" t="str">
        <f t="shared" si="17"/>
        <v>February</v>
      </c>
      <c r="I221" t="s">
        <v>30</v>
      </c>
      <c r="J221" t="s">
        <v>15</v>
      </c>
      <c r="K221" t="s">
        <v>32</v>
      </c>
      <c r="L221" t="s">
        <v>23</v>
      </c>
      <c r="M221">
        <v>1160.1199999999999</v>
      </c>
      <c r="N221">
        <f t="shared" si="18"/>
        <v>7</v>
      </c>
      <c r="O221">
        <v>15</v>
      </c>
      <c r="P221" t="str">
        <f t="shared" si="19"/>
        <v>Yes</v>
      </c>
      <c r="Q221">
        <f>IF(Booking_Data[[#This Row],[Discounted Booking]]="Yes",1,0)</f>
        <v>1</v>
      </c>
      <c r="R221" t="s">
        <v>24</v>
      </c>
      <c r="S221">
        <f>IF(Booking_Data[[#This Row],[Cancellation Status]]="yes",1,0)</f>
        <v>0</v>
      </c>
    </row>
    <row r="222" spans="1:19" x14ac:dyDescent="0.35">
      <c r="A222" t="s">
        <v>468</v>
      </c>
      <c r="B222" t="s">
        <v>469</v>
      </c>
      <c r="C222" s="1">
        <v>45336</v>
      </c>
      <c r="D222" s="1">
        <v>45346</v>
      </c>
      <c r="E222" s="1">
        <v>45354</v>
      </c>
      <c r="F222" s="2">
        <f t="shared" si="15"/>
        <v>3</v>
      </c>
      <c r="G222" s="2" t="str">
        <f t="shared" si="16"/>
        <v>Wednesday</v>
      </c>
      <c r="H222" s="2" t="str">
        <f t="shared" si="17"/>
        <v>February</v>
      </c>
      <c r="I222" t="s">
        <v>30</v>
      </c>
      <c r="J222" t="s">
        <v>21</v>
      </c>
      <c r="K222" t="s">
        <v>42</v>
      </c>
      <c r="L222" t="s">
        <v>17</v>
      </c>
      <c r="M222">
        <v>1174.55</v>
      </c>
      <c r="N222">
        <f t="shared" si="18"/>
        <v>8</v>
      </c>
      <c r="O222">
        <v>15</v>
      </c>
      <c r="P222" t="str">
        <f t="shared" si="19"/>
        <v>Yes</v>
      </c>
      <c r="Q222">
        <f>IF(Booking_Data[[#This Row],[Discounted Booking]]="Yes",1,0)</f>
        <v>1</v>
      </c>
      <c r="R222" t="s">
        <v>24</v>
      </c>
      <c r="S222">
        <f>IF(Booking_Data[[#This Row],[Cancellation Status]]="yes",1,0)</f>
        <v>0</v>
      </c>
    </row>
    <row r="223" spans="1:19" x14ac:dyDescent="0.35">
      <c r="A223" t="s">
        <v>470</v>
      </c>
      <c r="B223" t="s">
        <v>471</v>
      </c>
      <c r="C223" s="1">
        <v>45336</v>
      </c>
      <c r="D223" s="1">
        <v>45365</v>
      </c>
      <c r="E223" s="1">
        <v>45368</v>
      </c>
      <c r="F223" s="2">
        <f t="shared" si="15"/>
        <v>3</v>
      </c>
      <c r="G223" s="2" t="str">
        <f t="shared" si="16"/>
        <v>Wednesday</v>
      </c>
      <c r="H223" s="2" t="str">
        <f t="shared" si="17"/>
        <v>February</v>
      </c>
      <c r="I223" t="s">
        <v>14</v>
      </c>
      <c r="J223" t="s">
        <v>21</v>
      </c>
      <c r="K223" t="s">
        <v>58</v>
      </c>
      <c r="L223" t="s">
        <v>27</v>
      </c>
      <c r="M223">
        <v>337.59</v>
      </c>
      <c r="N223">
        <f t="shared" si="18"/>
        <v>3</v>
      </c>
      <c r="O223">
        <v>0</v>
      </c>
      <c r="P223" t="str">
        <f t="shared" si="19"/>
        <v>No</v>
      </c>
      <c r="Q223">
        <f>IF(Booking_Data[[#This Row],[Discounted Booking]]="Yes",1,0)</f>
        <v>0</v>
      </c>
      <c r="R223" t="s">
        <v>18</v>
      </c>
      <c r="S223">
        <f>IF(Booking_Data[[#This Row],[Cancellation Status]]="yes",1,0)</f>
        <v>1</v>
      </c>
    </row>
    <row r="224" spans="1:19" x14ac:dyDescent="0.35">
      <c r="A224" t="s">
        <v>472</v>
      </c>
      <c r="B224" t="s">
        <v>473</v>
      </c>
      <c r="C224" s="1">
        <v>45336</v>
      </c>
      <c r="D224" s="1">
        <v>45356</v>
      </c>
      <c r="E224" s="1">
        <v>45360</v>
      </c>
      <c r="F224" s="2">
        <f t="shared" si="15"/>
        <v>3</v>
      </c>
      <c r="G224" s="2" t="str">
        <f t="shared" si="16"/>
        <v>Wednesday</v>
      </c>
      <c r="H224" s="2" t="str">
        <f t="shared" si="17"/>
        <v>February</v>
      </c>
      <c r="I224" t="s">
        <v>35</v>
      </c>
      <c r="J224" t="s">
        <v>31</v>
      </c>
      <c r="K224" t="s">
        <v>42</v>
      </c>
      <c r="L224" t="s">
        <v>17</v>
      </c>
      <c r="M224">
        <v>237.02</v>
      </c>
      <c r="N224">
        <f t="shared" si="18"/>
        <v>4</v>
      </c>
      <c r="O224">
        <v>10</v>
      </c>
      <c r="P224" t="str">
        <f t="shared" si="19"/>
        <v>Yes</v>
      </c>
      <c r="Q224">
        <f>IF(Booking_Data[[#This Row],[Discounted Booking]]="Yes",1,0)</f>
        <v>1</v>
      </c>
      <c r="R224" t="s">
        <v>24</v>
      </c>
      <c r="S224">
        <f>IF(Booking_Data[[#This Row],[Cancellation Status]]="yes",1,0)</f>
        <v>0</v>
      </c>
    </row>
    <row r="225" spans="1:19" x14ac:dyDescent="0.35">
      <c r="A225" t="s">
        <v>474</v>
      </c>
      <c r="B225" t="s">
        <v>475</v>
      </c>
      <c r="C225" s="1">
        <v>45336</v>
      </c>
      <c r="D225" s="1">
        <v>45354</v>
      </c>
      <c r="E225" s="1">
        <v>45357</v>
      </c>
      <c r="F225" s="2">
        <f t="shared" si="15"/>
        <v>3</v>
      </c>
      <c r="G225" s="2" t="str">
        <f t="shared" si="16"/>
        <v>Wednesday</v>
      </c>
      <c r="H225" s="2" t="str">
        <f t="shared" si="17"/>
        <v>February</v>
      </c>
      <c r="I225" t="s">
        <v>35</v>
      </c>
      <c r="J225" t="s">
        <v>31</v>
      </c>
      <c r="K225" t="s">
        <v>16</v>
      </c>
      <c r="L225" t="s">
        <v>17</v>
      </c>
      <c r="M225">
        <v>1143.17</v>
      </c>
      <c r="N225">
        <f t="shared" si="18"/>
        <v>3</v>
      </c>
      <c r="O225">
        <v>5</v>
      </c>
      <c r="P225" t="str">
        <f t="shared" si="19"/>
        <v>Yes</v>
      </c>
      <c r="Q225">
        <f>IF(Booking_Data[[#This Row],[Discounted Booking]]="Yes",1,0)</f>
        <v>1</v>
      </c>
      <c r="R225" t="s">
        <v>24</v>
      </c>
      <c r="S225">
        <f>IF(Booking_Data[[#This Row],[Cancellation Status]]="yes",1,0)</f>
        <v>0</v>
      </c>
    </row>
    <row r="226" spans="1:19" x14ac:dyDescent="0.35">
      <c r="A226" t="s">
        <v>476</v>
      </c>
      <c r="B226" t="s">
        <v>477</v>
      </c>
      <c r="C226" s="1">
        <v>45336</v>
      </c>
      <c r="D226" s="1">
        <v>45363</v>
      </c>
      <c r="E226" s="1">
        <v>45365</v>
      </c>
      <c r="F226" s="2">
        <f t="shared" si="15"/>
        <v>3</v>
      </c>
      <c r="G226" s="2" t="str">
        <f t="shared" si="16"/>
        <v>Wednesday</v>
      </c>
      <c r="H226" s="2" t="str">
        <f t="shared" si="17"/>
        <v>February</v>
      </c>
      <c r="I226" t="s">
        <v>35</v>
      </c>
      <c r="J226" t="s">
        <v>15</v>
      </c>
      <c r="K226" t="s">
        <v>22</v>
      </c>
      <c r="L226" t="s">
        <v>37</v>
      </c>
      <c r="M226">
        <v>943.16</v>
      </c>
      <c r="N226">
        <f t="shared" si="18"/>
        <v>2</v>
      </c>
      <c r="O226">
        <v>25</v>
      </c>
      <c r="P226" t="str">
        <f t="shared" si="19"/>
        <v>Yes</v>
      </c>
      <c r="Q226">
        <f>IF(Booking_Data[[#This Row],[Discounted Booking]]="Yes",1,0)</f>
        <v>1</v>
      </c>
      <c r="R226" t="s">
        <v>18</v>
      </c>
      <c r="S226">
        <f>IF(Booking_Data[[#This Row],[Cancellation Status]]="yes",1,0)</f>
        <v>1</v>
      </c>
    </row>
    <row r="227" spans="1:19" x14ac:dyDescent="0.35">
      <c r="A227" t="s">
        <v>478</v>
      </c>
      <c r="B227" t="s">
        <v>479</v>
      </c>
      <c r="C227" s="1">
        <v>45336</v>
      </c>
      <c r="D227" s="1">
        <v>45344</v>
      </c>
      <c r="E227" s="1">
        <v>45354</v>
      </c>
      <c r="F227" s="2">
        <f t="shared" si="15"/>
        <v>3</v>
      </c>
      <c r="G227" s="2" t="str">
        <f t="shared" si="16"/>
        <v>Wednesday</v>
      </c>
      <c r="H227" s="2" t="str">
        <f t="shared" si="17"/>
        <v>February</v>
      </c>
      <c r="I227" t="s">
        <v>35</v>
      </c>
      <c r="J227" t="s">
        <v>31</v>
      </c>
      <c r="K227" t="s">
        <v>22</v>
      </c>
      <c r="L227" t="s">
        <v>37</v>
      </c>
      <c r="M227">
        <v>580.37</v>
      </c>
      <c r="N227">
        <f t="shared" si="18"/>
        <v>10</v>
      </c>
      <c r="O227">
        <v>0</v>
      </c>
      <c r="P227" t="str">
        <f t="shared" si="19"/>
        <v>No</v>
      </c>
      <c r="Q227">
        <f>IF(Booking_Data[[#This Row],[Discounted Booking]]="Yes",1,0)</f>
        <v>0</v>
      </c>
      <c r="R227" t="s">
        <v>18</v>
      </c>
      <c r="S227">
        <f>IF(Booking_Data[[#This Row],[Cancellation Status]]="yes",1,0)</f>
        <v>1</v>
      </c>
    </row>
    <row r="228" spans="1:19" x14ac:dyDescent="0.35">
      <c r="A228" t="s">
        <v>480</v>
      </c>
      <c r="B228" t="s">
        <v>481</v>
      </c>
      <c r="C228" s="1">
        <v>45336</v>
      </c>
      <c r="D228" s="1">
        <v>45364</v>
      </c>
      <c r="E228" s="1">
        <v>45369</v>
      </c>
      <c r="F228" s="2">
        <f t="shared" si="15"/>
        <v>3</v>
      </c>
      <c r="G228" s="2" t="str">
        <f t="shared" si="16"/>
        <v>Wednesday</v>
      </c>
      <c r="H228" s="2" t="str">
        <f t="shared" si="17"/>
        <v>February</v>
      </c>
      <c r="I228" t="s">
        <v>14</v>
      </c>
      <c r="J228" t="s">
        <v>15</v>
      </c>
      <c r="K228" t="s">
        <v>32</v>
      </c>
      <c r="L228" t="s">
        <v>23</v>
      </c>
      <c r="M228">
        <v>1238.0999999999999</v>
      </c>
      <c r="N228">
        <f t="shared" si="18"/>
        <v>5</v>
      </c>
      <c r="O228">
        <v>10</v>
      </c>
      <c r="P228" t="str">
        <f t="shared" si="19"/>
        <v>Yes</v>
      </c>
      <c r="Q228">
        <f>IF(Booking_Data[[#This Row],[Discounted Booking]]="Yes",1,0)</f>
        <v>1</v>
      </c>
      <c r="R228" t="s">
        <v>18</v>
      </c>
      <c r="S228">
        <f>IF(Booking_Data[[#This Row],[Cancellation Status]]="yes",1,0)</f>
        <v>1</v>
      </c>
    </row>
    <row r="229" spans="1:19" x14ac:dyDescent="0.35">
      <c r="A229" t="s">
        <v>482</v>
      </c>
      <c r="B229" t="s">
        <v>483</v>
      </c>
      <c r="C229" s="1">
        <v>45337</v>
      </c>
      <c r="D229" s="1">
        <v>45358</v>
      </c>
      <c r="E229" s="1">
        <v>45364</v>
      </c>
      <c r="F229" s="2">
        <f t="shared" si="15"/>
        <v>3</v>
      </c>
      <c r="G229" s="2" t="str">
        <f t="shared" si="16"/>
        <v>Thursday</v>
      </c>
      <c r="H229" s="2" t="str">
        <f t="shared" si="17"/>
        <v>February</v>
      </c>
      <c r="I229" t="s">
        <v>14</v>
      </c>
      <c r="J229" t="s">
        <v>21</v>
      </c>
      <c r="K229" t="s">
        <v>42</v>
      </c>
      <c r="L229" t="s">
        <v>37</v>
      </c>
      <c r="M229">
        <v>1331.55</v>
      </c>
      <c r="N229">
        <f t="shared" si="18"/>
        <v>6</v>
      </c>
      <c r="O229">
        <v>20</v>
      </c>
      <c r="P229" t="str">
        <f t="shared" si="19"/>
        <v>Yes</v>
      </c>
      <c r="Q229">
        <f>IF(Booking_Data[[#This Row],[Discounted Booking]]="Yes",1,0)</f>
        <v>1</v>
      </c>
      <c r="R229" t="s">
        <v>18</v>
      </c>
      <c r="S229">
        <f>IF(Booking_Data[[#This Row],[Cancellation Status]]="yes",1,0)</f>
        <v>1</v>
      </c>
    </row>
    <row r="230" spans="1:19" x14ac:dyDescent="0.35">
      <c r="A230" t="s">
        <v>484</v>
      </c>
      <c r="B230" t="s">
        <v>485</v>
      </c>
      <c r="C230" s="1">
        <v>45337</v>
      </c>
      <c r="D230" s="1">
        <v>45346</v>
      </c>
      <c r="E230" s="1">
        <v>45349</v>
      </c>
      <c r="F230" s="2">
        <f t="shared" si="15"/>
        <v>3</v>
      </c>
      <c r="G230" s="2" t="str">
        <f t="shared" si="16"/>
        <v>Thursday</v>
      </c>
      <c r="H230" s="2" t="str">
        <f t="shared" si="17"/>
        <v>February</v>
      </c>
      <c r="I230" t="s">
        <v>14</v>
      </c>
      <c r="J230" t="s">
        <v>15</v>
      </c>
      <c r="K230" t="s">
        <v>22</v>
      </c>
      <c r="L230" t="s">
        <v>27</v>
      </c>
      <c r="M230">
        <v>137.54</v>
      </c>
      <c r="N230">
        <f t="shared" si="18"/>
        <v>3</v>
      </c>
      <c r="O230">
        <v>15</v>
      </c>
      <c r="P230" t="str">
        <f t="shared" si="19"/>
        <v>Yes</v>
      </c>
      <c r="Q230">
        <f>IF(Booking_Data[[#This Row],[Discounted Booking]]="Yes",1,0)</f>
        <v>1</v>
      </c>
      <c r="R230" t="s">
        <v>18</v>
      </c>
      <c r="S230">
        <f>IF(Booking_Data[[#This Row],[Cancellation Status]]="yes",1,0)</f>
        <v>1</v>
      </c>
    </row>
    <row r="231" spans="1:19" x14ac:dyDescent="0.35">
      <c r="A231" t="s">
        <v>486</v>
      </c>
      <c r="B231" t="s">
        <v>487</v>
      </c>
      <c r="C231" s="1">
        <v>45337</v>
      </c>
      <c r="D231" s="1">
        <v>45358</v>
      </c>
      <c r="E231" s="1">
        <v>45362</v>
      </c>
      <c r="F231" s="2">
        <f t="shared" si="15"/>
        <v>3</v>
      </c>
      <c r="G231" s="2" t="str">
        <f t="shared" si="16"/>
        <v>Thursday</v>
      </c>
      <c r="H231" s="2" t="str">
        <f t="shared" si="17"/>
        <v>February</v>
      </c>
      <c r="I231" t="s">
        <v>14</v>
      </c>
      <c r="J231" t="s">
        <v>21</v>
      </c>
      <c r="K231" t="s">
        <v>42</v>
      </c>
      <c r="L231" t="s">
        <v>27</v>
      </c>
      <c r="M231">
        <v>119.1</v>
      </c>
      <c r="N231">
        <f t="shared" si="18"/>
        <v>4</v>
      </c>
      <c r="O231">
        <v>15</v>
      </c>
      <c r="P231" t="str">
        <f t="shared" si="19"/>
        <v>Yes</v>
      </c>
      <c r="Q231">
        <f>IF(Booking_Data[[#This Row],[Discounted Booking]]="Yes",1,0)</f>
        <v>1</v>
      </c>
      <c r="R231" t="s">
        <v>18</v>
      </c>
      <c r="S231">
        <f>IF(Booking_Data[[#This Row],[Cancellation Status]]="yes",1,0)</f>
        <v>1</v>
      </c>
    </row>
    <row r="232" spans="1:19" x14ac:dyDescent="0.35">
      <c r="A232" t="s">
        <v>488</v>
      </c>
      <c r="B232" t="s">
        <v>489</v>
      </c>
      <c r="C232" s="1">
        <v>45337</v>
      </c>
      <c r="D232" s="1">
        <v>45342</v>
      </c>
      <c r="E232" s="1">
        <v>45352</v>
      </c>
      <c r="F232" s="2">
        <f t="shared" si="15"/>
        <v>3</v>
      </c>
      <c r="G232" s="2" t="str">
        <f t="shared" si="16"/>
        <v>Thursday</v>
      </c>
      <c r="H232" s="2" t="str">
        <f t="shared" si="17"/>
        <v>February</v>
      </c>
      <c r="I232" t="s">
        <v>35</v>
      </c>
      <c r="J232" t="s">
        <v>21</v>
      </c>
      <c r="K232" t="s">
        <v>32</v>
      </c>
      <c r="L232" t="s">
        <v>37</v>
      </c>
      <c r="M232">
        <v>101.2</v>
      </c>
      <c r="N232">
        <f t="shared" si="18"/>
        <v>10</v>
      </c>
      <c r="O232">
        <v>10</v>
      </c>
      <c r="P232" t="str">
        <f t="shared" si="19"/>
        <v>Yes</v>
      </c>
      <c r="Q232">
        <f>IF(Booking_Data[[#This Row],[Discounted Booking]]="Yes",1,0)</f>
        <v>1</v>
      </c>
      <c r="R232" t="s">
        <v>18</v>
      </c>
      <c r="S232">
        <f>IF(Booking_Data[[#This Row],[Cancellation Status]]="yes",1,0)</f>
        <v>1</v>
      </c>
    </row>
    <row r="233" spans="1:19" x14ac:dyDescent="0.35">
      <c r="A233" t="s">
        <v>490</v>
      </c>
      <c r="B233" t="s">
        <v>491</v>
      </c>
      <c r="C233" s="1">
        <v>45337</v>
      </c>
      <c r="D233" s="1">
        <v>45364</v>
      </c>
      <c r="E233" s="1">
        <v>45373</v>
      </c>
      <c r="F233" s="2">
        <f t="shared" si="15"/>
        <v>3</v>
      </c>
      <c r="G233" s="2" t="str">
        <f t="shared" si="16"/>
        <v>Thursday</v>
      </c>
      <c r="H233" s="2" t="str">
        <f t="shared" si="17"/>
        <v>February</v>
      </c>
      <c r="I233" t="s">
        <v>35</v>
      </c>
      <c r="J233" t="s">
        <v>36</v>
      </c>
      <c r="K233" t="s">
        <v>49</v>
      </c>
      <c r="L233" t="s">
        <v>23</v>
      </c>
      <c r="M233">
        <v>1051.93</v>
      </c>
      <c r="N233">
        <f t="shared" si="18"/>
        <v>9</v>
      </c>
      <c r="O233">
        <v>10</v>
      </c>
      <c r="P233" t="str">
        <f t="shared" si="19"/>
        <v>Yes</v>
      </c>
      <c r="Q233">
        <f>IF(Booking_Data[[#This Row],[Discounted Booking]]="Yes",1,0)</f>
        <v>1</v>
      </c>
      <c r="R233" t="s">
        <v>24</v>
      </c>
      <c r="S233">
        <f>IF(Booking_Data[[#This Row],[Cancellation Status]]="yes",1,0)</f>
        <v>0</v>
      </c>
    </row>
    <row r="234" spans="1:19" x14ac:dyDescent="0.35">
      <c r="A234" t="s">
        <v>492</v>
      </c>
      <c r="B234" t="s">
        <v>493</v>
      </c>
      <c r="C234" s="1">
        <v>45337</v>
      </c>
      <c r="D234" s="1">
        <v>45355</v>
      </c>
      <c r="E234" s="1">
        <v>45362</v>
      </c>
      <c r="F234" s="2">
        <f t="shared" si="15"/>
        <v>3</v>
      </c>
      <c r="G234" s="2" t="str">
        <f t="shared" si="16"/>
        <v>Thursday</v>
      </c>
      <c r="H234" s="2" t="str">
        <f t="shared" si="17"/>
        <v>February</v>
      </c>
      <c r="I234" t="s">
        <v>30</v>
      </c>
      <c r="J234" t="s">
        <v>15</v>
      </c>
      <c r="K234" t="s">
        <v>42</v>
      </c>
      <c r="L234" t="s">
        <v>27</v>
      </c>
      <c r="M234">
        <v>109.19</v>
      </c>
      <c r="N234">
        <f t="shared" si="18"/>
        <v>7</v>
      </c>
      <c r="O234">
        <v>15</v>
      </c>
      <c r="P234" t="str">
        <f t="shared" si="19"/>
        <v>Yes</v>
      </c>
      <c r="Q234">
        <f>IF(Booking_Data[[#This Row],[Discounted Booking]]="Yes",1,0)</f>
        <v>1</v>
      </c>
      <c r="R234" t="s">
        <v>18</v>
      </c>
      <c r="S234">
        <f>IF(Booking_Data[[#This Row],[Cancellation Status]]="yes",1,0)</f>
        <v>1</v>
      </c>
    </row>
    <row r="235" spans="1:19" x14ac:dyDescent="0.35">
      <c r="A235" t="s">
        <v>494</v>
      </c>
      <c r="B235" t="s">
        <v>495</v>
      </c>
      <c r="C235" s="1">
        <v>45338</v>
      </c>
      <c r="D235" s="1">
        <v>45368</v>
      </c>
      <c r="E235" s="1">
        <v>45373</v>
      </c>
      <c r="F235" s="2">
        <f t="shared" si="15"/>
        <v>3</v>
      </c>
      <c r="G235" s="2" t="str">
        <f t="shared" si="16"/>
        <v>Friday</v>
      </c>
      <c r="H235" s="2" t="str">
        <f t="shared" si="17"/>
        <v>February</v>
      </c>
      <c r="I235" t="s">
        <v>30</v>
      </c>
      <c r="J235" t="s">
        <v>21</v>
      </c>
      <c r="K235" t="s">
        <v>42</v>
      </c>
      <c r="L235" t="s">
        <v>27</v>
      </c>
      <c r="M235">
        <v>770.42</v>
      </c>
      <c r="N235">
        <f t="shared" si="18"/>
        <v>5</v>
      </c>
      <c r="O235">
        <v>15</v>
      </c>
      <c r="P235" t="str">
        <f t="shared" si="19"/>
        <v>Yes</v>
      </c>
      <c r="Q235">
        <f>IF(Booking_Data[[#This Row],[Discounted Booking]]="Yes",1,0)</f>
        <v>1</v>
      </c>
      <c r="R235" t="s">
        <v>18</v>
      </c>
      <c r="S235">
        <f>IF(Booking_Data[[#This Row],[Cancellation Status]]="yes",1,0)</f>
        <v>1</v>
      </c>
    </row>
    <row r="236" spans="1:19" x14ac:dyDescent="0.35">
      <c r="A236" t="s">
        <v>496</v>
      </c>
      <c r="B236" t="s">
        <v>497</v>
      </c>
      <c r="C236" s="1">
        <v>45338</v>
      </c>
      <c r="D236" s="1">
        <v>45359</v>
      </c>
      <c r="E236" s="1">
        <v>45362</v>
      </c>
      <c r="F236" s="2">
        <f t="shared" si="15"/>
        <v>3</v>
      </c>
      <c r="G236" s="2" t="str">
        <f t="shared" si="16"/>
        <v>Friday</v>
      </c>
      <c r="H236" s="2" t="str">
        <f t="shared" si="17"/>
        <v>February</v>
      </c>
      <c r="I236" t="s">
        <v>30</v>
      </c>
      <c r="J236" t="s">
        <v>31</v>
      </c>
      <c r="K236" t="s">
        <v>32</v>
      </c>
      <c r="L236" t="s">
        <v>17</v>
      </c>
      <c r="M236">
        <v>824.33</v>
      </c>
      <c r="N236">
        <f t="shared" si="18"/>
        <v>3</v>
      </c>
      <c r="O236">
        <v>0</v>
      </c>
      <c r="P236" t="str">
        <f t="shared" si="19"/>
        <v>No</v>
      </c>
      <c r="Q236">
        <f>IF(Booking_Data[[#This Row],[Discounted Booking]]="Yes",1,0)</f>
        <v>0</v>
      </c>
      <c r="R236" t="s">
        <v>24</v>
      </c>
      <c r="S236">
        <f>IF(Booking_Data[[#This Row],[Cancellation Status]]="yes",1,0)</f>
        <v>0</v>
      </c>
    </row>
    <row r="237" spans="1:19" x14ac:dyDescent="0.35">
      <c r="A237" t="s">
        <v>498</v>
      </c>
      <c r="B237" t="s">
        <v>499</v>
      </c>
      <c r="C237" s="1">
        <v>45338</v>
      </c>
      <c r="D237" s="1">
        <v>45364</v>
      </c>
      <c r="E237" s="1">
        <v>45372</v>
      </c>
      <c r="F237" s="2">
        <f t="shared" si="15"/>
        <v>3</v>
      </c>
      <c r="G237" s="2" t="str">
        <f t="shared" si="16"/>
        <v>Friday</v>
      </c>
      <c r="H237" s="2" t="str">
        <f t="shared" si="17"/>
        <v>February</v>
      </c>
      <c r="I237" t="s">
        <v>30</v>
      </c>
      <c r="J237" t="s">
        <v>21</v>
      </c>
      <c r="K237" t="s">
        <v>16</v>
      </c>
      <c r="L237" t="s">
        <v>23</v>
      </c>
      <c r="M237">
        <v>1432.32</v>
      </c>
      <c r="N237">
        <f t="shared" si="18"/>
        <v>8</v>
      </c>
      <c r="O237">
        <v>15</v>
      </c>
      <c r="P237" t="str">
        <f t="shared" si="19"/>
        <v>Yes</v>
      </c>
      <c r="Q237">
        <f>IF(Booking_Data[[#This Row],[Discounted Booking]]="Yes",1,0)</f>
        <v>1</v>
      </c>
      <c r="R237" t="s">
        <v>18</v>
      </c>
      <c r="S237">
        <f>IF(Booking_Data[[#This Row],[Cancellation Status]]="yes",1,0)</f>
        <v>1</v>
      </c>
    </row>
    <row r="238" spans="1:19" x14ac:dyDescent="0.35">
      <c r="A238" t="s">
        <v>500</v>
      </c>
      <c r="B238" t="s">
        <v>501</v>
      </c>
      <c r="C238" s="1">
        <v>45338</v>
      </c>
      <c r="D238" s="1">
        <v>45362</v>
      </c>
      <c r="E238" s="1">
        <v>45368</v>
      </c>
      <c r="F238" s="2">
        <f t="shared" si="15"/>
        <v>3</v>
      </c>
      <c r="G238" s="2" t="str">
        <f t="shared" si="16"/>
        <v>Friday</v>
      </c>
      <c r="H238" s="2" t="str">
        <f t="shared" si="17"/>
        <v>February</v>
      </c>
      <c r="I238" t="s">
        <v>30</v>
      </c>
      <c r="J238" t="s">
        <v>21</v>
      </c>
      <c r="K238" t="s">
        <v>49</v>
      </c>
      <c r="L238" t="s">
        <v>37</v>
      </c>
      <c r="M238">
        <v>922.8</v>
      </c>
      <c r="N238">
        <f t="shared" si="18"/>
        <v>6</v>
      </c>
      <c r="O238">
        <v>15</v>
      </c>
      <c r="P238" t="str">
        <f t="shared" si="19"/>
        <v>Yes</v>
      </c>
      <c r="Q238">
        <f>IF(Booking_Data[[#This Row],[Discounted Booking]]="Yes",1,0)</f>
        <v>1</v>
      </c>
      <c r="R238" t="s">
        <v>18</v>
      </c>
      <c r="S238">
        <f>IF(Booking_Data[[#This Row],[Cancellation Status]]="yes",1,0)</f>
        <v>1</v>
      </c>
    </row>
    <row r="239" spans="1:19" x14ac:dyDescent="0.35">
      <c r="A239" t="s">
        <v>502</v>
      </c>
      <c r="B239" t="s">
        <v>503</v>
      </c>
      <c r="C239" s="1">
        <v>45339</v>
      </c>
      <c r="D239" s="1">
        <v>45356</v>
      </c>
      <c r="E239" s="1">
        <v>45365</v>
      </c>
      <c r="F239" s="2">
        <f t="shared" si="15"/>
        <v>3</v>
      </c>
      <c r="G239" s="2" t="str">
        <f t="shared" si="16"/>
        <v>Saturday</v>
      </c>
      <c r="H239" s="2" t="str">
        <f t="shared" si="17"/>
        <v>February</v>
      </c>
      <c r="I239" t="s">
        <v>35</v>
      </c>
      <c r="J239" t="s">
        <v>15</v>
      </c>
      <c r="K239" t="s">
        <v>49</v>
      </c>
      <c r="L239" t="s">
        <v>23</v>
      </c>
      <c r="M239">
        <v>549.49</v>
      </c>
      <c r="N239">
        <f t="shared" si="18"/>
        <v>9</v>
      </c>
      <c r="O239">
        <v>5</v>
      </c>
      <c r="P239" t="str">
        <f t="shared" si="19"/>
        <v>Yes</v>
      </c>
      <c r="Q239">
        <f>IF(Booking_Data[[#This Row],[Discounted Booking]]="Yes",1,0)</f>
        <v>1</v>
      </c>
      <c r="R239" t="s">
        <v>24</v>
      </c>
      <c r="S239">
        <f>IF(Booking_Data[[#This Row],[Cancellation Status]]="yes",1,0)</f>
        <v>0</v>
      </c>
    </row>
    <row r="240" spans="1:19" x14ac:dyDescent="0.35">
      <c r="A240" t="s">
        <v>504</v>
      </c>
      <c r="B240" t="s">
        <v>505</v>
      </c>
      <c r="C240" s="1">
        <v>45339</v>
      </c>
      <c r="D240" s="1">
        <v>45346</v>
      </c>
      <c r="E240" s="1">
        <v>45351</v>
      </c>
      <c r="F240" s="2">
        <f t="shared" si="15"/>
        <v>3</v>
      </c>
      <c r="G240" s="2" t="str">
        <f t="shared" si="16"/>
        <v>Saturday</v>
      </c>
      <c r="H240" s="2" t="str">
        <f t="shared" si="17"/>
        <v>February</v>
      </c>
      <c r="I240" t="s">
        <v>14</v>
      </c>
      <c r="J240" t="s">
        <v>21</v>
      </c>
      <c r="K240" t="s">
        <v>42</v>
      </c>
      <c r="L240" t="s">
        <v>17</v>
      </c>
      <c r="M240">
        <v>1292.31</v>
      </c>
      <c r="N240">
        <f t="shared" si="18"/>
        <v>5</v>
      </c>
      <c r="O240">
        <v>25</v>
      </c>
      <c r="P240" t="str">
        <f t="shared" si="19"/>
        <v>Yes</v>
      </c>
      <c r="Q240">
        <f>IF(Booking_Data[[#This Row],[Discounted Booking]]="Yes",1,0)</f>
        <v>1</v>
      </c>
      <c r="R240" t="s">
        <v>18</v>
      </c>
      <c r="S240">
        <f>IF(Booking_Data[[#This Row],[Cancellation Status]]="yes",1,0)</f>
        <v>1</v>
      </c>
    </row>
    <row r="241" spans="1:19" x14ac:dyDescent="0.35">
      <c r="A241" t="s">
        <v>506</v>
      </c>
      <c r="B241" t="s">
        <v>507</v>
      </c>
      <c r="C241" s="1">
        <v>45339</v>
      </c>
      <c r="D241" s="1">
        <v>45359</v>
      </c>
      <c r="E241" s="1">
        <v>45362</v>
      </c>
      <c r="F241" s="2">
        <f t="shared" si="15"/>
        <v>3</v>
      </c>
      <c r="G241" s="2" t="str">
        <f t="shared" si="16"/>
        <v>Saturday</v>
      </c>
      <c r="H241" s="2" t="str">
        <f t="shared" si="17"/>
        <v>February</v>
      </c>
      <c r="I241" t="s">
        <v>30</v>
      </c>
      <c r="J241" t="s">
        <v>36</v>
      </c>
      <c r="K241" t="s">
        <v>32</v>
      </c>
      <c r="L241" t="s">
        <v>27</v>
      </c>
      <c r="M241">
        <v>360.16</v>
      </c>
      <c r="N241">
        <f t="shared" si="18"/>
        <v>3</v>
      </c>
      <c r="O241">
        <v>10</v>
      </c>
      <c r="P241" t="str">
        <f t="shared" si="19"/>
        <v>Yes</v>
      </c>
      <c r="Q241">
        <f>IF(Booking_Data[[#This Row],[Discounted Booking]]="Yes",1,0)</f>
        <v>1</v>
      </c>
      <c r="R241" t="s">
        <v>24</v>
      </c>
      <c r="S241">
        <f>IF(Booking_Data[[#This Row],[Cancellation Status]]="yes",1,0)</f>
        <v>0</v>
      </c>
    </row>
    <row r="242" spans="1:19" x14ac:dyDescent="0.35">
      <c r="A242" t="s">
        <v>508</v>
      </c>
      <c r="B242" t="s">
        <v>509</v>
      </c>
      <c r="C242" s="1">
        <v>45339</v>
      </c>
      <c r="D242" s="1">
        <v>45351</v>
      </c>
      <c r="E242" s="1">
        <v>45358</v>
      </c>
      <c r="F242" s="2">
        <f t="shared" si="15"/>
        <v>3</v>
      </c>
      <c r="G242" s="2" t="str">
        <f t="shared" si="16"/>
        <v>Saturday</v>
      </c>
      <c r="H242" s="2" t="str">
        <f t="shared" si="17"/>
        <v>February</v>
      </c>
      <c r="I242" t="s">
        <v>14</v>
      </c>
      <c r="J242" t="s">
        <v>21</v>
      </c>
      <c r="K242" t="s">
        <v>58</v>
      </c>
      <c r="L242" t="s">
        <v>17</v>
      </c>
      <c r="M242">
        <v>1355.02</v>
      </c>
      <c r="N242">
        <f t="shared" si="18"/>
        <v>7</v>
      </c>
      <c r="O242">
        <v>0</v>
      </c>
      <c r="P242" t="str">
        <f t="shared" si="19"/>
        <v>No</v>
      </c>
      <c r="Q242">
        <f>IF(Booking_Data[[#This Row],[Discounted Booking]]="Yes",1,0)</f>
        <v>0</v>
      </c>
      <c r="R242" t="s">
        <v>24</v>
      </c>
      <c r="S242">
        <f>IF(Booking_Data[[#This Row],[Cancellation Status]]="yes",1,0)</f>
        <v>0</v>
      </c>
    </row>
    <row r="243" spans="1:19" x14ac:dyDescent="0.35">
      <c r="A243" t="s">
        <v>510</v>
      </c>
      <c r="B243" t="s">
        <v>511</v>
      </c>
      <c r="C243" s="1">
        <v>45339</v>
      </c>
      <c r="D243" s="1">
        <v>45350</v>
      </c>
      <c r="E243" s="1">
        <v>45359</v>
      </c>
      <c r="F243" s="2">
        <f t="shared" si="15"/>
        <v>3</v>
      </c>
      <c r="G243" s="2" t="str">
        <f t="shared" si="16"/>
        <v>Saturday</v>
      </c>
      <c r="H243" s="2" t="str">
        <f t="shared" si="17"/>
        <v>February</v>
      </c>
      <c r="I243" t="s">
        <v>14</v>
      </c>
      <c r="J243" t="s">
        <v>31</v>
      </c>
      <c r="K243" t="s">
        <v>42</v>
      </c>
      <c r="L243" t="s">
        <v>23</v>
      </c>
      <c r="M243">
        <v>844.9</v>
      </c>
      <c r="N243">
        <f t="shared" si="18"/>
        <v>9</v>
      </c>
      <c r="O243">
        <v>5</v>
      </c>
      <c r="P243" t="str">
        <f t="shared" si="19"/>
        <v>Yes</v>
      </c>
      <c r="Q243">
        <f>IF(Booking_Data[[#This Row],[Discounted Booking]]="Yes",1,0)</f>
        <v>1</v>
      </c>
      <c r="R243" t="s">
        <v>18</v>
      </c>
      <c r="S243">
        <f>IF(Booking_Data[[#This Row],[Cancellation Status]]="yes",1,0)</f>
        <v>1</v>
      </c>
    </row>
    <row r="244" spans="1:19" x14ac:dyDescent="0.35">
      <c r="A244" t="s">
        <v>512</v>
      </c>
      <c r="B244" t="s">
        <v>513</v>
      </c>
      <c r="C244" s="1">
        <v>45340</v>
      </c>
      <c r="D244" s="1">
        <v>45353</v>
      </c>
      <c r="E244" s="1">
        <v>45354</v>
      </c>
      <c r="F244" s="2">
        <f t="shared" si="15"/>
        <v>4</v>
      </c>
      <c r="G244" s="2" t="str">
        <f t="shared" si="16"/>
        <v>Sunday</v>
      </c>
      <c r="H244" s="2" t="str">
        <f t="shared" si="17"/>
        <v>February</v>
      </c>
      <c r="I244" t="s">
        <v>30</v>
      </c>
      <c r="J244" t="s">
        <v>36</v>
      </c>
      <c r="K244" t="s">
        <v>16</v>
      </c>
      <c r="L244" t="s">
        <v>27</v>
      </c>
      <c r="M244">
        <v>1204.22</v>
      </c>
      <c r="N244">
        <f t="shared" si="18"/>
        <v>1</v>
      </c>
      <c r="O244">
        <v>15</v>
      </c>
      <c r="P244" t="str">
        <f t="shared" si="19"/>
        <v>Yes</v>
      </c>
      <c r="Q244">
        <f>IF(Booking_Data[[#This Row],[Discounted Booking]]="Yes",1,0)</f>
        <v>1</v>
      </c>
      <c r="R244" t="s">
        <v>24</v>
      </c>
      <c r="S244">
        <f>IF(Booking_Data[[#This Row],[Cancellation Status]]="yes",1,0)</f>
        <v>0</v>
      </c>
    </row>
    <row r="245" spans="1:19" x14ac:dyDescent="0.35">
      <c r="A245" t="s">
        <v>514</v>
      </c>
      <c r="B245" t="s">
        <v>515</v>
      </c>
      <c r="C245" s="1">
        <v>45340</v>
      </c>
      <c r="D245" s="1">
        <v>45343</v>
      </c>
      <c r="E245" s="1">
        <v>45352</v>
      </c>
      <c r="F245" s="2">
        <f t="shared" si="15"/>
        <v>4</v>
      </c>
      <c r="G245" s="2" t="str">
        <f t="shared" si="16"/>
        <v>Sunday</v>
      </c>
      <c r="H245" s="2" t="str">
        <f t="shared" si="17"/>
        <v>February</v>
      </c>
      <c r="I245" t="s">
        <v>14</v>
      </c>
      <c r="J245" t="s">
        <v>15</v>
      </c>
      <c r="K245" t="s">
        <v>22</v>
      </c>
      <c r="L245" t="s">
        <v>23</v>
      </c>
      <c r="M245">
        <v>1272.79</v>
      </c>
      <c r="N245">
        <f t="shared" si="18"/>
        <v>9</v>
      </c>
      <c r="O245">
        <v>15</v>
      </c>
      <c r="P245" t="str">
        <f t="shared" si="19"/>
        <v>Yes</v>
      </c>
      <c r="Q245">
        <f>IF(Booking_Data[[#This Row],[Discounted Booking]]="Yes",1,0)</f>
        <v>1</v>
      </c>
      <c r="R245" t="s">
        <v>18</v>
      </c>
      <c r="S245">
        <f>IF(Booking_Data[[#This Row],[Cancellation Status]]="yes",1,0)</f>
        <v>1</v>
      </c>
    </row>
    <row r="246" spans="1:19" x14ac:dyDescent="0.35">
      <c r="A246" t="s">
        <v>516</v>
      </c>
      <c r="B246" t="s">
        <v>517</v>
      </c>
      <c r="C246" s="1">
        <v>45340</v>
      </c>
      <c r="D246" s="1">
        <v>45364</v>
      </c>
      <c r="E246" s="1">
        <v>45372</v>
      </c>
      <c r="F246" s="2">
        <f t="shared" si="15"/>
        <v>4</v>
      </c>
      <c r="G246" s="2" t="str">
        <f t="shared" si="16"/>
        <v>Sunday</v>
      </c>
      <c r="H246" s="2" t="str">
        <f t="shared" si="17"/>
        <v>February</v>
      </c>
      <c r="I246" t="s">
        <v>35</v>
      </c>
      <c r="J246" t="s">
        <v>36</v>
      </c>
      <c r="K246" t="s">
        <v>22</v>
      </c>
      <c r="L246" t="s">
        <v>37</v>
      </c>
      <c r="M246">
        <v>221.61</v>
      </c>
      <c r="N246">
        <f t="shared" si="18"/>
        <v>8</v>
      </c>
      <c r="O246">
        <v>25</v>
      </c>
      <c r="P246" t="str">
        <f t="shared" si="19"/>
        <v>Yes</v>
      </c>
      <c r="Q246">
        <f>IF(Booking_Data[[#This Row],[Discounted Booking]]="Yes",1,0)</f>
        <v>1</v>
      </c>
      <c r="R246" t="s">
        <v>24</v>
      </c>
      <c r="S246">
        <f>IF(Booking_Data[[#This Row],[Cancellation Status]]="yes",1,0)</f>
        <v>0</v>
      </c>
    </row>
    <row r="247" spans="1:19" x14ac:dyDescent="0.35">
      <c r="A247" t="s">
        <v>518</v>
      </c>
      <c r="B247" t="s">
        <v>168</v>
      </c>
      <c r="C247" s="1">
        <v>45340</v>
      </c>
      <c r="D247" s="1">
        <v>45351</v>
      </c>
      <c r="E247" s="1">
        <v>45355</v>
      </c>
      <c r="F247" s="2">
        <f t="shared" si="15"/>
        <v>4</v>
      </c>
      <c r="G247" s="2" t="str">
        <f t="shared" si="16"/>
        <v>Sunday</v>
      </c>
      <c r="H247" s="2" t="str">
        <f t="shared" si="17"/>
        <v>February</v>
      </c>
      <c r="I247" t="s">
        <v>35</v>
      </c>
      <c r="J247" t="s">
        <v>36</v>
      </c>
      <c r="K247" t="s">
        <v>22</v>
      </c>
      <c r="L247" t="s">
        <v>27</v>
      </c>
      <c r="M247">
        <v>627.58000000000004</v>
      </c>
      <c r="N247">
        <f t="shared" si="18"/>
        <v>4</v>
      </c>
      <c r="O247">
        <v>0</v>
      </c>
      <c r="P247" t="str">
        <f t="shared" si="19"/>
        <v>No</v>
      </c>
      <c r="Q247">
        <f>IF(Booking_Data[[#This Row],[Discounted Booking]]="Yes",1,0)</f>
        <v>0</v>
      </c>
      <c r="R247" t="s">
        <v>18</v>
      </c>
      <c r="S247">
        <f>IF(Booking_Data[[#This Row],[Cancellation Status]]="yes",1,0)</f>
        <v>1</v>
      </c>
    </row>
    <row r="248" spans="1:19" x14ac:dyDescent="0.35">
      <c r="A248" t="s">
        <v>519</v>
      </c>
      <c r="B248" t="s">
        <v>520</v>
      </c>
      <c r="C248" s="1">
        <v>45340</v>
      </c>
      <c r="D248" s="1">
        <v>45356</v>
      </c>
      <c r="E248" s="1">
        <v>45361</v>
      </c>
      <c r="F248" s="2">
        <f t="shared" si="15"/>
        <v>4</v>
      </c>
      <c r="G248" s="2" t="str">
        <f t="shared" si="16"/>
        <v>Sunday</v>
      </c>
      <c r="H248" s="2" t="str">
        <f t="shared" si="17"/>
        <v>February</v>
      </c>
      <c r="I248" t="s">
        <v>14</v>
      </c>
      <c r="J248" t="s">
        <v>15</v>
      </c>
      <c r="K248" t="s">
        <v>42</v>
      </c>
      <c r="L248" t="s">
        <v>17</v>
      </c>
      <c r="M248">
        <v>1248.48</v>
      </c>
      <c r="N248">
        <f t="shared" si="18"/>
        <v>5</v>
      </c>
      <c r="O248">
        <v>15</v>
      </c>
      <c r="P248" t="str">
        <f t="shared" si="19"/>
        <v>Yes</v>
      </c>
      <c r="Q248">
        <f>IF(Booking_Data[[#This Row],[Discounted Booking]]="Yes",1,0)</f>
        <v>1</v>
      </c>
      <c r="R248" t="s">
        <v>18</v>
      </c>
      <c r="S248">
        <f>IF(Booking_Data[[#This Row],[Cancellation Status]]="yes",1,0)</f>
        <v>1</v>
      </c>
    </row>
    <row r="249" spans="1:19" x14ac:dyDescent="0.35">
      <c r="A249" t="s">
        <v>521</v>
      </c>
      <c r="B249" t="s">
        <v>522</v>
      </c>
      <c r="C249" s="1">
        <v>45341</v>
      </c>
      <c r="D249" s="1">
        <v>45346</v>
      </c>
      <c r="E249" s="1">
        <v>45351</v>
      </c>
      <c r="F249" s="2">
        <f t="shared" si="15"/>
        <v>4</v>
      </c>
      <c r="G249" s="2" t="str">
        <f t="shared" si="16"/>
        <v>Monday</v>
      </c>
      <c r="H249" s="2" t="str">
        <f t="shared" si="17"/>
        <v>February</v>
      </c>
      <c r="I249" t="s">
        <v>35</v>
      </c>
      <c r="J249" t="s">
        <v>36</v>
      </c>
      <c r="K249" t="s">
        <v>22</v>
      </c>
      <c r="L249" t="s">
        <v>27</v>
      </c>
      <c r="M249">
        <v>1334.75</v>
      </c>
      <c r="N249">
        <f t="shared" si="18"/>
        <v>5</v>
      </c>
      <c r="O249">
        <v>10</v>
      </c>
      <c r="P249" t="str">
        <f t="shared" si="19"/>
        <v>Yes</v>
      </c>
      <c r="Q249">
        <f>IF(Booking_Data[[#This Row],[Discounted Booking]]="Yes",1,0)</f>
        <v>1</v>
      </c>
      <c r="R249" t="s">
        <v>24</v>
      </c>
      <c r="S249">
        <f>IF(Booking_Data[[#This Row],[Cancellation Status]]="yes",1,0)</f>
        <v>0</v>
      </c>
    </row>
    <row r="250" spans="1:19" x14ac:dyDescent="0.35">
      <c r="A250" t="s">
        <v>523</v>
      </c>
      <c r="B250" t="s">
        <v>524</v>
      </c>
      <c r="C250" s="1">
        <v>45341</v>
      </c>
      <c r="D250" s="1">
        <v>45368</v>
      </c>
      <c r="E250" s="1">
        <v>45374</v>
      </c>
      <c r="F250" s="2">
        <f t="shared" si="15"/>
        <v>4</v>
      </c>
      <c r="G250" s="2" t="str">
        <f t="shared" si="16"/>
        <v>Monday</v>
      </c>
      <c r="H250" s="2" t="str">
        <f t="shared" si="17"/>
        <v>February</v>
      </c>
      <c r="I250" t="s">
        <v>14</v>
      </c>
      <c r="J250" t="s">
        <v>15</v>
      </c>
      <c r="K250" t="s">
        <v>49</v>
      </c>
      <c r="L250" t="s">
        <v>17</v>
      </c>
      <c r="M250">
        <v>425.98</v>
      </c>
      <c r="N250">
        <f t="shared" si="18"/>
        <v>6</v>
      </c>
      <c r="O250">
        <v>0</v>
      </c>
      <c r="P250" t="str">
        <f t="shared" si="19"/>
        <v>No</v>
      </c>
      <c r="Q250">
        <f>IF(Booking_Data[[#This Row],[Discounted Booking]]="Yes",1,0)</f>
        <v>0</v>
      </c>
      <c r="R250" t="s">
        <v>24</v>
      </c>
      <c r="S250">
        <f>IF(Booking_Data[[#This Row],[Cancellation Status]]="yes",1,0)</f>
        <v>0</v>
      </c>
    </row>
    <row r="251" spans="1:19" x14ac:dyDescent="0.35">
      <c r="A251" t="s">
        <v>525</v>
      </c>
      <c r="B251" t="s">
        <v>526</v>
      </c>
      <c r="C251" s="1">
        <v>45341</v>
      </c>
      <c r="D251" s="1">
        <v>45343</v>
      </c>
      <c r="E251" s="1">
        <v>45351</v>
      </c>
      <c r="F251" s="2">
        <f t="shared" si="15"/>
        <v>4</v>
      </c>
      <c r="G251" s="2" t="str">
        <f t="shared" si="16"/>
        <v>Monday</v>
      </c>
      <c r="H251" s="2" t="str">
        <f t="shared" si="17"/>
        <v>February</v>
      </c>
      <c r="I251" t="s">
        <v>35</v>
      </c>
      <c r="J251" t="s">
        <v>15</v>
      </c>
      <c r="K251" t="s">
        <v>22</v>
      </c>
      <c r="L251" t="s">
        <v>23</v>
      </c>
      <c r="M251">
        <v>453.01</v>
      </c>
      <c r="N251">
        <f t="shared" si="18"/>
        <v>8</v>
      </c>
      <c r="O251">
        <v>25</v>
      </c>
      <c r="P251" t="str">
        <f t="shared" si="19"/>
        <v>Yes</v>
      </c>
      <c r="Q251">
        <f>IF(Booking_Data[[#This Row],[Discounted Booking]]="Yes",1,0)</f>
        <v>1</v>
      </c>
      <c r="R251" t="s">
        <v>24</v>
      </c>
      <c r="S251">
        <f>IF(Booking_Data[[#This Row],[Cancellation Status]]="yes",1,0)</f>
        <v>0</v>
      </c>
    </row>
    <row r="252" spans="1:19" x14ac:dyDescent="0.35">
      <c r="A252" t="s">
        <v>527</v>
      </c>
      <c r="B252" t="s">
        <v>528</v>
      </c>
      <c r="C252" s="1">
        <v>45341</v>
      </c>
      <c r="D252" s="1">
        <v>45366</v>
      </c>
      <c r="E252" s="1">
        <v>45367</v>
      </c>
      <c r="F252" s="2">
        <f t="shared" si="15"/>
        <v>4</v>
      </c>
      <c r="G252" s="2" t="str">
        <f t="shared" si="16"/>
        <v>Monday</v>
      </c>
      <c r="H252" s="2" t="str">
        <f t="shared" si="17"/>
        <v>February</v>
      </c>
      <c r="I252" t="s">
        <v>14</v>
      </c>
      <c r="J252" t="s">
        <v>21</v>
      </c>
      <c r="K252" t="s">
        <v>42</v>
      </c>
      <c r="L252" t="s">
        <v>17</v>
      </c>
      <c r="M252">
        <v>994.4</v>
      </c>
      <c r="N252">
        <f t="shared" si="18"/>
        <v>1</v>
      </c>
      <c r="O252">
        <v>0</v>
      </c>
      <c r="P252" t="str">
        <f t="shared" si="19"/>
        <v>No</v>
      </c>
      <c r="Q252">
        <f>IF(Booking_Data[[#This Row],[Discounted Booking]]="Yes",1,0)</f>
        <v>0</v>
      </c>
      <c r="R252" t="s">
        <v>24</v>
      </c>
      <c r="S252">
        <f>IF(Booking_Data[[#This Row],[Cancellation Status]]="yes",1,0)</f>
        <v>0</v>
      </c>
    </row>
    <row r="253" spans="1:19" x14ac:dyDescent="0.35">
      <c r="A253" t="s">
        <v>529</v>
      </c>
      <c r="B253" t="s">
        <v>530</v>
      </c>
      <c r="C253" s="1">
        <v>45341</v>
      </c>
      <c r="D253" s="1">
        <v>45362</v>
      </c>
      <c r="E253" s="1">
        <v>45364</v>
      </c>
      <c r="F253" s="2">
        <f t="shared" si="15"/>
        <v>4</v>
      </c>
      <c r="G253" s="2" t="str">
        <f t="shared" si="16"/>
        <v>Monday</v>
      </c>
      <c r="H253" s="2" t="str">
        <f t="shared" si="17"/>
        <v>February</v>
      </c>
      <c r="I253" t="s">
        <v>14</v>
      </c>
      <c r="J253" t="s">
        <v>36</v>
      </c>
      <c r="K253" t="s">
        <v>58</v>
      </c>
      <c r="L253" t="s">
        <v>27</v>
      </c>
      <c r="M253">
        <v>162.49</v>
      </c>
      <c r="N253">
        <f t="shared" si="18"/>
        <v>2</v>
      </c>
      <c r="O253">
        <v>20</v>
      </c>
      <c r="P253" t="str">
        <f t="shared" si="19"/>
        <v>Yes</v>
      </c>
      <c r="Q253">
        <f>IF(Booking_Data[[#This Row],[Discounted Booking]]="Yes",1,0)</f>
        <v>1</v>
      </c>
      <c r="R253" t="s">
        <v>18</v>
      </c>
      <c r="S253">
        <f>IF(Booking_Data[[#This Row],[Cancellation Status]]="yes",1,0)</f>
        <v>1</v>
      </c>
    </row>
    <row r="254" spans="1:19" x14ac:dyDescent="0.35">
      <c r="A254" t="s">
        <v>531</v>
      </c>
      <c r="B254" t="s">
        <v>532</v>
      </c>
      <c r="C254" s="1">
        <v>45342</v>
      </c>
      <c r="D254" s="1">
        <v>45356</v>
      </c>
      <c r="E254" s="1">
        <v>45361</v>
      </c>
      <c r="F254" s="2">
        <f t="shared" si="15"/>
        <v>4</v>
      </c>
      <c r="G254" s="2" t="str">
        <f t="shared" si="16"/>
        <v>Tuesday</v>
      </c>
      <c r="H254" s="2" t="str">
        <f t="shared" si="17"/>
        <v>February</v>
      </c>
      <c r="I254" t="s">
        <v>30</v>
      </c>
      <c r="J254" t="s">
        <v>15</v>
      </c>
      <c r="K254" t="s">
        <v>22</v>
      </c>
      <c r="L254" t="s">
        <v>17</v>
      </c>
      <c r="M254">
        <v>591.61</v>
      </c>
      <c r="N254">
        <f t="shared" si="18"/>
        <v>5</v>
      </c>
      <c r="O254">
        <v>25</v>
      </c>
      <c r="P254" t="str">
        <f t="shared" si="19"/>
        <v>Yes</v>
      </c>
      <c r="Q254">
        <f>IF(Booking_Data[[#This Row],[Discounted Booking]]="Yes",1,0)</f>
        <v>1</v>
      </c>
      <c r="R254" t="s">
        <v>18</v>
      </c>
      <c r="S254">
        <f>IF(Booking_Data[[#This Row],[Cancellation Status]]="yes",1,0)</f>
        <v>1</v>
      </c>
    </row>
    <row r="255" spans="1:19" x14ac:dyDescent="0.35">
      <c r="A255" t="s">
        <v>533</v>
      </c>
      <c r="B255" t="s">
        <v>534</v>
      </c>
      <c r="C255" s="1">
        <v>45342</v>
      </c>
      <c r="D255" s="1">
        <v>45369</v>
      </c>
      <c r="E255" s="1">
        <v>45370</v>
      </c>
      <c r="F255" s="2">
        <f t="shared" si="15"/>
        <v>4</v>
      </c>
      <c r="G255" s="2" t="str">
        <f t="shared" si="16"/>
        <v>Tuesday</v>
      </c>
      <c r="H255" s="2" t="str">
        <f t="shared" si="17"/>
        <v>February</v>
      </c>
      <c r="I255" t="s">
        <v>30</v>
      </c>
      <c r="J255" t="s">
        <v>31</v>
      </c>
      <c r="K255" t="s">
        <v>42</v>
      </c>
      <c r="L255" t="s">
        <v>37</v>
      </c>
      <c r="M255">
        <v>343.87</v>
      </c>
      <c r="N255">
        <f t="shared" si="18"/>
        <v>1</v>
      </c>
      <c r="O255">
        <v>25</v>
      </c>
      <c r="P255" t="str">
        <f t="shared" si="19"/>
        <v>Yes</v>
      </c>
      <c r="Q255">
        <f>IF(Booking_Data[[#This Row],[Discounted Booking]]="Yes",1,0)</f>
        <v>1</v>
      </c>
      <c r="R255" t="s">
        <v>24</v>
      </c>
      <c r="S255">
        <f>IF(Booking_Data[[#This Row],[Cancellation Status]]="yes",1,0)</f>
        <v>0</v>
      </c>
    </row>
    <row r="256" spans="1:19" x14ac:dyDescent="0.35">
      <c r="A256" t="s">
        <v>535</v>
      </c>
      <c r="B256" t="s">
        <v>536</v>
      </c>
      <c r="C256" s="1">
        <v>45342</v>
      </c>
      <c r="D256" s="1">
        <v>45357</v>
      </c>
      <c r="E256" s="1">
        <v>45362</v>
      </c>
      <c r="F256" s="2">
        <f t="shared" si="15"/>
        <v>4</v>
      </c>
      <c r="G256" s="2" t="str">
        <f t="shared" si="16"/>
        <v>Tuesday</v>
      </c>
      <c r="H256" s="2" t="str">
        <f t="shared" si="17"/>
        <v>February</v>
      </c>
      <c r="I256" t="s">
        <v>30</v>
      </c>
      <c r="J256" t="s">
        <v>21</v>
      </c>
      <c r="K256" t="s">
        <v>16</v>
      </c>
      <c r="L256" t="s">
        <v>17</v>
      </c>
      <c r="M256">
        <v>574.77</v>
      </c>
      <c r="N256">
        <f t="shared" si="18"/>
        <v>5</v>
      </c>
      <c r="O256">
        <v>20</v>
      </c>
      <c r="P256" t="str">
        <f t="shared" si="19"/>
        <v>Yes</v>
      </c>
      <c r="Q256">
        <f>IF(Booking_Data[[#This Row],[Discounted Booking]]="Yes",1,0)</f>
        <v>1</v>
      </c>
      <c r="R256" t="s">
        <v>18</v>
      </c>
      <c r="S256">
        <f>IF(Booking_Data[[#This Row],[Cancellation Status]]="yes",1,0)</f>
        <v>1</v>
      </c>
    </row>
    <row r="257" spans="1:19" x14ac:dyDescent="0.35">
      <c r="A257" t="s">
        <v>537</v>
      </c>
      <c r="B257" t="s">
        <v>538</v>
      </c>
      <c r="C257" s="1">
        <v>45342</v>
      </c>
      <c r="D257" s="1">
        <v>45354</v>
      </c>
      <c r="E257" s="1">
        <v>45364</v>
      </c>
      <c r="F257" s="2">
        <f t="shared" si="15"/>
        <v>4</v>
      </c>
      <c r="G257" s="2" t="str">
        <f t="shared" si="16"/>
        <v>Tuesday</v>
      </c>
      <c r="H257" s="2" t="str">
        <f t="shared" si="17"/>
        <v>February</v>
      </c>
      <c r="I257" t="s">
        <v>35</v>
      </c>
      <c r="J257" t="s">
        <v>15</v>
      </c>
      <c r="K257" t="s">
        <v>49</v>
      </c>
      <c r="L257" t="s">
        <v>17</v>
      </c>
      <c r="M257">
        <v>790.38</v>
      </c>
      <c r="N257">
        <f t="shared" si="18"/>
        <v>10</v>
      </c>
      <c r="O257">
        <v>20</v>
      </c>
      <c r="P257" t="str">
        <f t="shared" si="19"/>
        <v>Yes</v>
      </c>
      <c r="Q257">
        <f>IF(Booking_Data[[#This Row],[Discounted Booking]]="Yes",1,0)</f>
        <v>1</v>
      </c>
      <c r="R257" t="s">
        <v>24</v>
      </c>
      <c r="S257">
        <f>IF(Booking_Data[[#This Row],[Cancellation Status]]="yes",1,0)</f>
        <v>0</v>
      </c>
    </row>
    <row r="258" spans="1:19" x14ac:dyDescent="0.35">
      <c r="A258" t="s">
        <v>539</v>
      </c>
      <c r="B258" t="s">
        <v>540</v>
      </c>
      <c r="C258" s="1">
        <v>45342</v>
      </c>
      <c r="D258" s="1">
        <v>45366</v>
      </c>
      <c r="E258" s="1">
        <v>45369</v>
      </c>
      <c r="F258" s="2">
        <f t="shared" ref="F258:F321" si="20">WEEKNUM(C258) - WEEKNUM(DATE(YEAR(C258), MONTH(C258), 1)) + 1</f>
        <v>4</v>
      </c>
      <c r="G258" s="2" t="str">
        <f t="shared" ref="G258:G321" si="21">TEXT(C258,"dddd")</f>
        <v>Tuesday</v>
      </c>
      <c r="H258" s="2" t="str">
        <f t="shared" ref="H258:H321" si="22">TEXT(C258, "mmmm")</f>
        <v>February</v>
      </c>
      <c r="I258" t="s">
        <v>14</v>
      </c>
      <c r="J258" t="s">
        <v>21</v>
      </c>
      <c r="K258" t="s">
        <v>58</v>
      </c>
      <c r="L258" t="s">
        <v>37</v>
      </c>
      <c r="M258">
        <v>1458.36</v>
      </c>
      <c r="N258">
        <f t="shared" ref="N258:N321" si="23">_xlfn.DAYS(E258,D258)</f>
        <v>3</v>
      </c>
      <c r="O258">
        <v>15</v>
      </c>
      <c r="P258" t="str">
        <f t="shared" si="19"/>
        <v>Yes</v>
      </c>
      <c r="Q258">
        <f>IF(Booking_Data[[#This Row],[Discounted Booking]]="Yes",1,0)</f>
        <v>1</v>
      </c>
      <c r="R258" t="s">
        <v>24</v>
      </c>
      <c r="S258">
        <f>IF(Booking_Data[[#This Row],[Cancellation Status]]="yes",1,0)</f>
        <v>0</v>
      </c>
    </row>
    <row r="259" spans="1:19" x14ac:dyDescent="0.35">
      <c r="A259" t="s">
        <v>541</v>
      </c>
      <c r="B259" t="s">
        <v>542</v>
      </c>
      <c r="C259" s="1">
        <v>45343</v>
      </c>
      <c r="D259" s="1">
        <v>45372</v>
      </c>
      <c r="E259" s="1">
        <v>45381</v>
      </c>
      <c r="F259" s="2">
        <f t="shared" si="20"/>
        <v>4</v>
      </c>
      <c r="G259" s="2" t="str">
        <f t="shared" si="21"/>
        <v>Wednesday</v>
      </c>
      <c r="H259" s="2" t="str">
        <f t="shared" si="22"/>
        <v>February</v>
      </c>
      <c r="I259" t="s">
        <v>30</v>
      </c>
      <c r="J259" t="s">
        <v>36</v>
      </c>
      <c r="K259" t="s">
        <v>32</v>
      </c>
      <c r="L259" t="s">
        <v>27</v>
      </c>
      <c r="M259">
        <v>483.87</v>
      </c>
      <c r="N259">
        <f t="shared" si="23"/>
        <v>9</v>
      </c>
      <c r="O259">
        <v>25</v>
      </c>
      <c r="P259" t="str">
        <f t="shared" ref="P259:P322" si="24">IF(O259&gt;0, "Yes","No")</f>
        <v>Yes</v>
      </c>
      <c r="Q259">
        <f>IF(Booking_Data[[#This Row],[Discounted Booking]]="Yes",1,0)</f>
        <v>1</v>
      </c>
      <c r="R259" t="s">
        <v>18</v>
      </c>
      <c r="S259">
        <f>IF(Booking_Data[[#This Row],[Cancellation Status]]="yes",1,0)</f>
        <v>1</v>
      </c>
    </row>
    <row r="260" spans="1:19" x14ac:dyDescent="0.35">
      <c r="A260" t="s">
        <v>543</v>
      </c>
      <c r="B260" t="s">
        <v>544</v>
      </c>
      <c r="C260" s="1">
        <v>45343</v>
      </c>
      <c r="D260" s="1">
        <v>45371</v>
      </c>
      <c r="E260" s="1">
        <v>45379</v>
      </c>
      <c r="F260" s="2">
        <f t="shared" si="20"/>
        <v>4</v>
      </c>
      <c r="G260" s="2" t="str">
        <f t="shared" si="21"/>
        <v>Wednesday</v>
      </c>
      <c r="H260" s="2" t="str">
        <f t="shared" si="22"/>
        <v>February</v>
      </c>
      <c r="I260" t="s">
        <v>35</v>
      </c>
      <c r="J260" t="s">
        <v>15</v>
      </c>
      <c r="K260" t="s">
        <v>16</v>
      </c>
      <c r="L260" t="s">
        <v>23</v>
      </c>
      <c r="M260">
        <v>1172.74</v>
      </c>
      <c r="N260">
        <f t="shared" si="23"/>
        <v>8</v>
      </c>
      <c r="O260">
        <v>20</v>
      </c>
      <c r="P260" t="str">
        <f t="shared" si="24"/>
        <v>Yes</v>
      </c>
      <c r="Q260">
        <f>IF(Booking_Data[[#This Row],[Discounted Booking]]="Yes",1,0)</f>
        <v>1</v>
      </c>
      <c r="R260" t="s">
        <v>24</v>
      </c>
      <c r="S260">
        <f>IF(Booking_Data[[#This Row],[Cancellation Status]]="yes",1,0)</f>
        <v>0</v>
      </c>
    </row>
    <row r="261" spans="1:19" x14ac:dyDescent="0.35">
      <c r="A261" t="s">
        <v>545</v>
      </c>
      <c r="B261" t="s">
        <v>546</v>
      </c>
      <c r="C261" s="1">
        <v>45343</v>
      </c>
      <c r="D261" s="1">
        <v>45347</v>
      </c>
      <c r="E261" s="1">
        <v>45353</v>
      </c>
      <c r="F261" s="2">
        <f t="shared" si="20"/>
        <v>4</v>
      </c>
      <c r="G261" s="2" t="str">
        <f t="shared" si="21"/>
        <v>Wednesday</v>
      </c>
      <c r="H261" s="2" t="str">
        <f t="shared" si="22"/>
        <v>February</v>
      </c>
      <c r="I261" t="s">
        <v>35</v>
      </c>
      <c r="J261" t="s">
        <v>36</v>
      </c>
      <c r="K261" t="s">
        <v>32</v>
      </c>
      <c r="L261" t="s">
        <v>17</v>
      </c>
      <c r="M261">
        <v>1331.89</v>
      </c>
      <c r="N261">
        <f t="shared" si="23"/>
        <v>6</v>
      </c>
      <c r="O261">
        <v>5</v>
      </c>
      <c r="P261" t="str">
        <f t="shared" si="24"/>
        <v>Yes</v>
      </c>
      <c r="Q261">
        <f>IF(Booking_Data[[#This Row],[Discounted Booking]]="Yes",1,0)</f>
        <v>1</v>
      </c>
      <c r="R261" t="s">
        <v>24</v>
      </c>
      <c r="S261">
        <f>IF(Booking_Data[[#This Row],[Cancellation Status]]="yes",1,0)</f>
        <v>0</v>
      </c>
    </row>
    <row r="262" spans="1:19" x14ac:dyDescent="0.35">
      <c r="A262" t="s">
        <v>547</v>
      </c>
      <c r="B262" t="s">
        <v>548</v>
      </c>
      <c r="C262" s="1">
        <v>45343</v>
      </c>
      <c r="D262" s="1">
        <v>45344</v>
      </c>
      <c r="E262" s="1">
        <v>45349</v>
      </c>
      <c r="F262" s="2">
        <f t="shared" si="20"/>
        <v>4</v>
      </c>
      <c r="G262" s="2" t="str">
        <f t="shared" si="21"/>
        <v>Wednesday</v>
      </c>
      <c r="H262" s="2" t="str">
        <f t="shared" si="22"/>
        <v>February</v>
      </c>
      <c r="I262" t="s">
        <v>35</v>
      </c>
      <c r="J262" t="s">
        <v>21</v>
      </c>
      <c r="K262" t="s">
        <v>58</v>
      </c>
      <c r="L262" t="s">
        <v>17</v>
      </c>
      <c r="M262">
        <v>1366.59</v>
      </c>
      <c r="N262">
        <f t="shared" si="23"/>
        <v>5</v>
      </c>
      <c r="O262">
        <v>20</v>
      </c>
      <c r="P262" t="str">
        <f t="shared" si="24"/>
        <v>Yes</v>
      </c>
      <c r="Q262">
        <f>IF(Booking_Data[[#This Row],[Discounted Booking]]="Yes",1,0)</f>
        <v>1</v>
      </c>
      <c r="R262" t="s">
        <v>18</v>
      </c>
      <c r="S262">
        <f>IF(Booking_Data[[#This Row],[Cancellation Status]]="yes",1,0)</f>
        <v>1</v>
      </c>
    </row>
    <row r="263" spans="1:19" x14ac:dyDescent="0.35">
      <c r="A263" t="s">
        <v>549</v>
      </c>
      <c r="B263" t="s">
        <v>550</v>
      </c>
      <c r="C263" s="1">
        <v>45343</v>
      </c>
      <c r="D263" s="1">
        <v>45356</v>
      </c>
      <c r="E263" s="1">
        <v>45361</v>
      </c>
      <c r="F263" s="2">
        <f t="shared" si="20"/>
        <v>4</v>
      </c>
      <c r="G263" s="2" t="str">
        <f t="shared" si="21"/>
        <v>Wednesday</v>
      </c>
      <c r="H263" s="2" t="str">
        <f t="shared" si="22"/>
        <v>February</v>
      </c>
      <c r="I263" t="s">
        <v>35</v>
      </c>
      <c r="J263" t="s">
        <v>36</v>
      </c>
      <c r="K263" t="s">
        <v>58</v>
      </c>
      <c r="L263" t="s">
        <v>27</v>
      </c>
      <c r="M263">
        <v>769.16</v>
      </c>
      <c r="N263">
        <f t="shared" si="23"/>
        <v>5</v>
      </c>
      <c r="O263">
        <v>25</v>
      </c>
      <c r="P263" t="str">
        <f t="shared" si="24"/>
        <v>Yes</v>
      </c>
      <c r="Q263">
        <f>IF(Booking_Data[[#This Row],[Discounted Booking]]="Yes",1,0)</f>
        <v>1</v>
      </c>
      <c r="R263" t="s">
        <v>24</v>
      </c>
      <c r="S263">
        <f>IF(Booking_Data[[#This Row],[Cancellation Status]]="yes",1,0)</f>
        <v>0</v>
      </c>
    </row>
    <row r="264" spans="1:19" x14ac:dyDescent="0.35">
      <c r="A264" t="s">
        <v>551</v>
      </c>
      <c r="B264" t="s">
        <v>552</v>
      </c>
      <c r="C264" s="1">
        <v>45344</v>
      </c>
      <c r="D264" s="1">
        <v>45346</v>
      </c>
      <c r="E264" s="1">
        <v>45351</v>
      </c>
      <c r="F264" s="2">
        <f t="shared" si="20"/>
        <v>4</v>
      </c>
      <c r="G264" s="2" t="str">
        <f t="shared" si="21"/>
        <v>Thursday</v>
      </c>
      <c r="H264" s="2" t="str">
        <f t="shared" si="22"/>
        <v>February</v>
      </c>
      <c r="I264" t="s">
        <v>35</v>
      </c>
      <c r="J264" t="s">
        <v>15</v>
      </c>
      <c r="K264" t="s">
        <v>32</v>
      </c>
      <c r="L264" t="s">
        <v>37</v>
      </c>
      <c r="M264">
        <v>526.88</v>
      </c>
      <c r="N264">
        <f t="shared" si="23"/>
        <v>5</v>
      </c>
      <c r="O264">
        <v>0</v>
      </c>
      <c r="P264" t="str">
        <f t="shared" si="24"/>
        <v>No</v>
      </c>
      <c r="Q264">
        <f>IF(Booking_Data[[#This Row],[Discounted Booking]]="Yes",1,0)</f>
        <v>0</v>
      </c>
      <c r="R264" t="s">
        <v>24</v>
      </c>
      <c r="S264">
        <f>IF(Booking_Data[[#This Row],[Cancellation Status]]="yes",1,0)</f>
        <v>0</v>
      </c>
    </row>
    <row r="265" spans="1:19" x14ac:dyDescent="0.35">
      <c r="A265" t="s">
        <v>553</v>
      </c>
      <c r="B265" t="s">
        <v>554</v>
      </c>
      <c r="C265" s="1">
        <v>45344</v>
      </c>
      <c r="D265" s="1">
        <v>45347</v>
      </c>
      <c r="E265" s="1">
        <v>45355</v>
      </c>
      <c r="F265" s="2">
        <f t="shared" si="20"/>
        <v>4</v>
      </c>
      <c r="G265" s="2" t="str">
        <f t="shared" si="21"/>
        <v>Thursday</v>
      </c>
      <c r="H265" s="2" t="str">
        <f t="shared" si="22"/>
        <v>February</v>
      </c>
      <c r="I265" t="s">
        <v>14</v>
      </c>
      <c r="J265" t="s">
        <v>31</v>
      </c>
      <c r="K265" t="s">
        <v>22</v>
      </c>
      <c r="L265" t="s">
        <v>17</v>
      </c>
      <c r="M265">
        <v>1067.07</v>
      </c>
      <c r="N265">
        <f t="shared" si="23"/>
        <v>8</v>
      </c>
      <c r="O265">
        <v>25</v>
      </c>
      <c r="P265" t="str">
        <f t="shared" si="24"/>
        <v>Yes</v>
      </c>
      <c r="Q265">
        <f>IF(Booking_Data[[#This Row],[Discounted Booking]]="Yes",1,0)</f>
        <v>1</v>
      </c>
      <c r="R265" t="s">
        <v>18</v>
      </c>
      <c r="S265">
        <f>IF(Booking_Data[[#This Row],[Cancellation Status]]="yes",1,0)</f>
        <v>1</v>
      </c>
    </row>
    <row r="266" spans="1:19" x14ac:dyDescent="0.35">
      <c r="A266" t="s">
        <v>555</v>
      </c>
      <c r="B266" t="s">
        <v>556</v>
      </c>
      <c r="C266" s="1">
        <v>45344</v>
      </c>
      <c r="D266" s="1">
        <v>45359</v>
      </c>
      <c r="E266" s="1">
        <v>45367</v>
      </c>
      <c r="F266" s="2">
        <f t="shared" si="20"/>
        <v>4</v>
      </c>
      <c r="G266" s="2" t="str">
        <f t="shared" si="21"/>
        <v>Thursday</v>
      </c>
      <c r="H266" s="2" t="str">
        <f t="shared" si="22"/>
        <v>February</v>
      </c>
      <c r="I266" t="s">
        <v>14</v>
      </c>
      <c r="J266" t="s">
        <v>21</v>
      </c>
      <c r="K266" t="s">
        <v>32</v>
      </c>
      <c r="L266" t="s">
        <v>37</v>
      </c>
      <c r="M266">
        <v>1020.7</v>
      </c>
      <c r="N266">
        <f t="shared" si="23"/>
        <v>8</v>
      </c>
      <c r="O266">
        <v>15</v>
      </c>
      <c r="P266" t="str">
        <f t="shared" si="24"/>
        <v>Yes</v>
      </c>
      <c r="Q266">
        <f>IF(Booking_Data[[#This Row],[Discounted Booking]]="Yes",1,0)</f>
        <v>1</v>
      </c>
      <c r="R266" t="s">
        <v>24</v>
      </c>
      <c r="S266">
        <f>IF(Booking_Data[[#This Row],[Cancellation Status]]="yes",1,0)</f>
        <v>0</v>
      </c>
    </row>
    <row r="267" spans="1:19" x14ac:dyDescent="0.35">
      <c r="A267" t="s">
        <v>557</v>
      </c>
      <c r="B267" t="s">
        <v>558</v>
      </c>
      <c r="C267" s="1">
        <v>45344</v>
      </c>
      <c r="D267" s="1">
        <v>45357</v>
      </c>
      <c r="E267" s="1">
        <v>45363</v>
      </c>
      <c r="F267" s="2">
        <f t="shared" si="20"/>
        <v>4</v>
      </c>
      <c r="G267" s="2" t="str">
        <f t="shared" si="21"/>
        <v>Thursday</v>
      </c>
      <c r="H267" s="2" t="str">
        <f t="shared" si="22"/>
        <v>February</v>
      </c>
      <c r="I267" t="s">
        <v>35</v>
      </c>
      <c r="J267" t="s">
        <v>31</v>
      </c>
      <c r="K267" t="s">
        <v>22</v>
      </c>
      <c r="L267" t="s">
        <v>17</v>
      </c>
      <c r="M267">
        <v>540.80999999999995</v>
      </c>
      <c r="N267">
        <f t="shared" si="23"/>
        <v>6</v>
      </c>
      <c r="O267">
        <v>10</v>
      </c>
      <c r="P267" t="str">
        <f t="shared" si="24"/>
        <v>Yes</v>
      </c>
      <c r="Q267">
        <f>IF(Booking_Data[[#This Row],[Discounted Booking]]="Yes",1,0)</f>
        <v>1</v>
      </c>
      <c r="R267" t="s">
        <v>24</v>
      </c>
      <c r="S267">
        <f>IF(Booking_Data[[#This Row],[Cancellation Status]]="yes",1,0)</f>
        <v>0</v>
      </c>
    </row>
    <row r="268" spans="1:19" x14ac:dyDescent="0.35">
      <c r="A268" t="s">
        <v>559</v>
      </c>
      <c r="B268" t="s">
        <v>560</v>
      </c>
      <c r="C268" s="1">
        <v>45345</v>
      </c>
      <c r="D268" s="1">
        <v>45362</v>
      </c>
      <c r="E268" s="1">
        <v>45368</v>
      </c>
      <c r="F268" s="2">
        <f t="shared" si="20"/>
        <v>4</v>
      </c>
      <c r="G268" s="2" t="str">
        <f t="shared" si="21"/>
        <v>Friday</v>
      </c>
      <c r="H268" s="2" t="str">
        <f t="shared" si="22"/>
        <v>February</v>
      </c>
      <c r="I268" t="s">
        <v>35</v>
      </c>
      <c r="J268" t="s">
        <v>36</v>
      </c>
      <c r="K268" t="s">
        <v>42</v>
      </c>
      <c r="L268" t="s">
        <v>23</v>
      </c>
      <c r="M268">
        <v>940.72</v>
      </c>
      <c r="N268">
        <f t="shared" si="23"/>
        <v>6</v>
      </c>
      <c r="O268">
        <v>25</v>
      </c>
      <c r="P268" t="str">
        <f t="shared" si="24"/>
        <v>Yes</v>
      </c>
      <c r="Q268">
        <f>IF(Booking_Data[[#This Row],[Discounted Booking]]="Yes",1,0)</f>
        <v>1</v>
      </c>
      <c r="R268" t="s">
        <v>18</v>
      </c>
      <c r="S268">
        <f>IF(Booking_Data[[#This Row],[Cancellation Status]]="yes",1,0)</f>
        <v>1</v>
      </c>
    </row>
    <row r="269" spans="1:19" x14ac:dyDescent="0.35">
      <c r="A269" t="s">
        <v>561</v>
      </c>
      <c r="B269" t="s">
        <v>562</v>
      </c>
      <c r="C269" s="1">
        <v>45345</v>
      </c>
      <c r="D269" s="1">
        <v>45362</v>
      </c>
      <c r="E269" s="1">
        <v>45370</v>
      </c>
      <c r="F269" s="2">
        <f t="shared" si="20"/>
        <v>4</v>
      </c>
      <c r="G269" s="2" t="str">
        <f t="shared" si="21"/>
        <v>Friday</v>
      </c>
      <c r="H269" s="2" t="str">
        <f t="shared" si="22"/>
        <v>February</v>
      </c>
      <c r="I269" t="s">
        <v>14</v>
      </c>
      <c r="J269" t="s">
        <v>36</v>
      </c>
      <c r="K269" t="s">
        <v>58</v>
      </c>
      <c r="L269" t="s">
        <v>17</v>
      </c>
      <c r="M269">
        <v>980.06</v>
      </c>
      <c r="N269">
        <f t="shared" si="23"/>
        <v>8</v>
      </c>
      <c r="O269">
        <v>5</v>
      </c>
      <c r="P269" t="str">
        <f t="shared" si="24"/>
        <v>Yes</v>
      </c>
      <c r="Q269">
        <f>IF(Booking_Data[[#This Row],[Discounted Booking]]="Yes",1,0)</f>
        <v>1</v>
      </c>
      <c r="R269" t="s">
        <v>24</v>
      </c>
      <c r="S269">
        <f>IF(Booking_Data[[#This Row],[Cancellation Status]]="yes",1,0)</f>
        <v>0</v>
      </c>
    </row>
    <row r="270" spans="1:19" x14ac:dyDescent="0.35">
      <c r="A270" t="s">
        <v>563</v>
      </c>
      <c r="B270" t="s">
        <v>564</v>
      </c>
      <c r="C270" s="1">
        <v>45345</v>
      </c>
      <c r="D270" s="1">
        <v>45358</v>
      </c>
      <c r="E270" s="1">
        <v>45367</v>
      </c>
      <c r="F270" s="2">
        <f t="shared" si="20"/>
        <v>4</v>
      </c>
      <c r="G270" s="2" t="str">
        <f t="shared" si="21"/>
        <v>Friday</v>
      </c>
      <c r="H270" s="2" t="str">
        <f t="shared" si="22"/>
        <v>February</v>
      </c>
      <c r="I270" t="s">
        <v>35</v>
      </c>
      <c r="J270" t="s">
        <v>15</v>
      </c>
      <c r="K270" t="s">
        <v>32</v>
      </c>
      <c r="L270" t="s">
        <v>27</v>
      </c>
      <c r="M270">
        <v>169.96</v>
      </c>
      <c r="N270">
        <f t="shared" si="23"/>
        <v>9</v>
      </c>
      <c r="O270">
        <v>0</v>
      </c>
      <c r="P270" t="str">
        <f t="shared" si="24"/>
        <v>No</v>
      </c>
      <c r="Q270">
        <f>IF(Booking_Data[[#This Row],[Discounted Booking]]="Yes",1,0)</f>
        <v>0</v>
      </c>
      <c r="R270" t="s">
        <v>24</v>
      </c>
      <c r="S270">
        <f>IF(Booking_Data[[#This Row],[Cancellation Status]]="yes",1,0)</f>
        <v>0</v>
      </c>
    </row>
    <row r="271" spans="1:19" x14ac:dyDescent="0.35">
      <c r="A271" t="s">
        <v>565</v>
      </c>
      <c r="B271" t="s">
        <v>566</v>
      </c>
      <c r="C271" s="1">
        <v>45345</v>
      </c>
      <c r="D271" s="1">
        <v>45357</v>
      </c>
      <c r="E271" s="1">
        <v>45359</v>
      </c>
      <c r="F271" s="2">
        <f t="shared" si="20"/>
        <v>4</v>
      </c>
      <c r="G271" s="2" t="str">
        <f t="shared" si="21"/>
        <v>Friday</v>
      </c>
      <c r="H271" s="2" t="str">
        <f t="shared" si="22"/>
        <v>February</v>
      </c>
      <c r="I271" t="s">
        <v>35</v>
      </c>
      <c r="J271" t="s">
        <v>36</v>
      </c>
      <c r="K271" t="s">
        <v>16</v>
      </c>
      <c r="L271" t="s">
        <v>37</v>
      </c>
      <c r="M271">
        <v>1439.08</v>
      </c>
      <c r="N271">
        <f t="shared" si="23"/>
        <v>2</v>
      </c>
      <c r="O271">
        <v>20</v>
      </c>
      <c r="P271" t="str">
        <f t="shared" si="24"/>
        <v>Yes</v>
      </c>
      <c r="Q271">
        <f>IF(Booking_Data[[#This Row],[Discounted Booking]]="Yes",1,0)</f>
        <v>1</v>
      </c>
      <c r="R271" t="s">
        <v>24</v>
      </c>
      <c r="S271">
        <f>IF(Booking_Data[[#This Row],[Cancellation Status]]="yes",1,0)</f>
        <v>0</v>
      </c>
    </row>
    <row r="272" spans="1:19" x14ac:dyDescent="0.35">
      <c r="A272" t="s">
        <v>567</v>
      </c>
      <c r="B272" t="s">
        <v>568</v>
      </c>
      <c r="C272" s="1">
        <v>45345</v>
      </c>
      <c r="D272" s="1">
        <v>45365</v>
      </c>
      <c r="E272" s="1">
        <v>45366</v>
      </c>
      <c r="F272" s="2">
        <f t="shared" si="20"/>
        <v>4</v>
      </c>
      <c r="G272" s="2" t="str">
        <f t="shared" si="21"/>
        <v>Friday</v>
      </c>
      <c r="H272" s="2" t="str">
        <f t="shared" si="22"/>
        <v>February</v>
      </c>
      <c r="I272" t="s">
        <v>30</v>
      </c>
      <c r="J272" t="s">
        <v>31</v>
      </c>
      <c r="K272" t="s">
        <v>16</v>
      </c>
      <c r="L272" t="s">
        <v>27</v>
      </c>
      <c r="M272">
        <v>1077.8599999999999</v>
      </c>
      <c r="N272">
        <f t="shared" si="23"/>
        <v>1</v>
      </c>
      <c r="O272">
        <v>20</v>
      </c>
      <c r="P272" t="str">
        <f t="shared" si="24"/>
        <v>Yes</v>
      </c>
      <c r="Q272">
        <f>IF(Booking_Data[[#This Row],[Discounted Booking]]="Yes",1,0)</f>
        <v>1</v>
      </c>
      <c r="R272" t="s">
        <v>24</v>
      </c>
      <c r="S272">
        <f>IF(Booking_Data[[#This Row],[Cancellation Status]]="yes",1,0)</f>
        <v>0</v>
      </c>
    </row>
    <row r="273" spans="1:19" x14ac:dyDescent="0.35">
      <c r="A273" t="s">
        <v>569</v>
      </c>
      <c r="B273" t="s">
        <v>570</v>
      </c>
      <c r="C273" s="1">
        <v>45345</v>
      </c>
      <c r="D273" s="1">
        <v>45375</v>
      </c>
      <c r="E273" s="1">
        <v>45385</v>
      </c>
      <c r="F273" s="2">
        <f t="shared" si="20"/>
        <v>4</v>
      </c>
      <c r="G273" s="2" t="str">
        <f t="shared" si="21"/>
        <v>Friday</v>
      </c>
      <c r="H273" s="2" t="str">
        <f t="shared" si="22"/>
        <v>February</v>
      </c>
      <c r="I273" t="s">
        <v>30</v>
      </c>
      <c r="J273" t="s">
        <v>21</v>
      </c>
      <c r="K273" t="s">
        <v>16</v>
      </c>
      <c r="L273" t="s">
        <v>27</v>
      </c>
      <c r="M273">
        <v>143.15</v>
      </c>
      <c r="N273">
        <f t="shared" si="23"/>
        <v>10</v>
      </c>
      <c r="O273">
        <v>10</v>
      </c>
      <c r="P273" t="str">
        <f t="shared" si="24"/>
        <v>Yes</v>
      </c>
      <c r="Q273">
        <f>IF(Booking_Data[[#This Row],[Discounted Booking]]="Yes",1,0)</f>
        <v>1</v>
      </c>
      <c r="R273" t="s">
        <v>18</v>
      </c>
      <c r="S273">
        <f>IF(Booking_Data[[#This Row],[Cancellation Status]]="yes",1,0)</f>
        <v>1</v>
      </c>
    </row>
    <row r="274" spans="1:19" x14ac:dyDescent="0.35">
      <c r="A274" t="s">
        <v>571</v>
      </c>
      <c r="B274" t="s">
        <v>572</v>
      </c>
      <c r="C274" s="1">
        <v>45346</v>
      </c>
      <c r="D274" s="1">
        <v>45375</v>
      </c>
      <c r="E274" s="1">
        <v>45376</v>
      </c>
      <c r="F274" s="2">
        <f t="shared" si="20"/>
        <v>4</v>
      </c>
      <c r="G274" s="2" t="str">
        <f t="shared" si="21"/>
        <v>Saturday</v>
      </c>
      <c r="H274" s="2" t="str">
        <f t="shared" si="22"/>
        <v>February</v>
      </c>
      <c r="I274" t="s">
        <v>35</v>
      </c>
      <c r="J274" t="s">
        <v>31</v>
      </c>
      <c r="K274" t="s">
        <v>16</v>
      </c>
      <c r="L274" t="s">
        <v>37</v>
      </c>
      <c r="M274">
        <v>1166.1300000000001</v>
      </c>
      <c r="N274">
        <f t="shared" si="23"/>
        <v>1</v>
      </c>
      <c r="O274">
        <v>25</v>
      </c>
      <c r="P274" t="str">
        <f t="shared" si="24"/>
        <v>Yes</v>
      </c>
      <c r="Q274">
        <f>IF(Booking_Data[[#This Row],[Discounted Booking]]="Yes",1,0)</f>
        <v>1</v>
      </c>
      <c r="R274" t="s">
        <v>18</v>
      </c>
      <c r="S274">
        <f>IF(Booking_Data[[#This Row],[Cancellation Status]]="yes",1,0)</f>
        <v>1</v>
      </c>
    </row>
    <row r="275" spans="1:19" x14ac:dyDescent="0.35">
      <c r="A275" t="s">
        <v>573</v>
      </c>
      <c r="B275" t="s">
        <v>574</v>
      </c>
      <c r="C275" s="1">
        <v>45346</v>
      </c>
      <c r="D275" s="1">
        <v>45357</v>
      </c>
      <c r="E275" s="1">
        <v>45358</v>
      </c>
      <c r="F275" s="2">
        <f t="shared" si="20"/>
        <v>4</v>
      </c>
      <c r="G275" s="2" t="str">
        <f t="shared" si="21"/>
        <v>Saturday</v>
      </c>
      <c r="H275" s="2" t="str">
        <f t="shared" si="22"/>
        <v>February</v>
      </c>
      <c r="I275" t="s">
        <v>30</v>
      </c>
      <c r="J275" t="s">
        <v>31</v>
      </c>
      <c r="K275" t="s">
        <v>58</v>
      </c>
      <c r="L275" t="s">
        <v>27</v>
      </c>
      <c r="M275">
        <v>133.94</v>
      </c>
      <c r="N275">
        <f t="shared" si="23"/>
        <v>1</v>
      </c>
      <c r="O275">
        <v>10</v>
      </c>
      <c r="P275" t="str">
        <f t="shared" si="24"/>
        <v>Yes</v>
      </c>
      <c r="Q275">
        <f>IF(Booking_Data[[#This Row],[Discounted Booking]]="Yes",1,0)</f>
        <v>1</v>
      </c>
      <c r="R275" t="s">
        <v>24</v>
      </c>
      <c r="S275">
        <f>IF(Booking_Data[[#This Row],[Cancellation Status]]="yes",1,0)</f>
        <v>0</v>
      </c>
    </row>
    <row r="276" spans="1:19" x14ac:dyDescent="0.35">
      <c r="A276" t="s">
        <v>575</v>
      </c>
      <c r="B276" t="s">
        <v>576</v>
      </c>
      <c r="C276" s="1">
        <v>45346</v>
      </c>
      <c r="D276" s="1">
        <v>45366</v>
      </c>
      <c r="E276" s="1">
        <v>45376</v>
      </c>
      <c r="F276" s="2">
        <f t="shared" si="20"/>
        <v>4</v>
      </c>
      <c r="G276" s="2" t="str">
        <f t="shared" si="21"/>
        <v>Saturday</v>
      </c>
      <c r="H276" s="2" t="str">
        <f t="shared" si="22"/>
        <v>February</v>
      </c>
      <c r="I276" t="s">
        <v>35</v>
      </c>
      <c r="J276" t="s">
        <v>31</v>
      </c>
      <c r="K276" t="s">
        <v>49</v>
      </c>
      <c r="L276" t="s">
        <v>27</v>
      </c>
      <c r="M276">
        <v>904.68</v>
      </c>
      <c r="N276">
        <f t="shared" si="23"/>
        <v>10</v>
      </c>
      <c r="O276">
        <v>0</v>
      </c>
      <c r="P276" t="str">
        <f t="shared" si="24"/>
        <v>No</v>
      </c>
      <c r="Q276">
        <f>IF(Booking_Data[[#This Row],[Discounted Booking]]="Yes",1,0)</f>
        <v>0</v>
      </c>
      <c r="R276" t="s">
        <v>24</v>
      </c>
      <c r="S276">
        <f>IF(Booking_Data[[#This Row],[Cancellation Status]]="yes",1,0)</f>
        <v>0</v>
      </c>
    </row>
    <row r="277" spans="1:19" x14ac:dyDescent="0.35">
      <c r="A277" t="s">
        <v>577</v>
      </c>
      <c r="B277" t="s">
        <v>578</v>
      </c>
      <c r="C277" s="1">
        <v>45347</v>
      </c>
      <c r="D277" s="1">
        <v>45348</v>
      </c>
      <c r="E277" s="1">
        <v>45354</v>
      </c>
      <c r="F277" s="2">
        <f t="shared" si="20"/>
        <v>5</v>
      </c>
      <c r="G277" s="2" t="str">
        <f t="shared" si="21"/>
        <v>Sunday</v>
      </c>
      <c r="H277" s="2" t="str">
        <f t="shared" si="22"/>
        <v>February</v>
      </c>
      <c r="I277" t="s">
        <v>14</v>
      </c>
      <c r="J277" t="s">
        <v>31</v>
      </c>
      <c r="K277" t="s">
        <v>22</v>
      </c>
      <c r="L277" t="s">
        <v>37</v>
      </c>
      <c r="M277">
        <v>697.57</v>
      </c>
      <c r="N277">
        <f t="shared" si="23"/>
        <v>6</v>
      </c>
      <c r="O277">
        <v>5</v>
      </c>
      <c r="P277" t="str">
        <f t="shared" si="24"/>
        <v>Yes</v>
      </c>
      <c r="Q277">
        <f>IF(Booking_Data[[#This Row],[Discounted Booking]]="Yes",1,0)</f>
        <v>1</v>
      </c>
      <c r="R277" t="s">
        <v>24</v>
      </c>
      <c r="S277">
        <f>IF(Booking_Data[[#This Row],[Cancellation Status]]="yes",1,0)</f>
        <v>0</v>
      </c>
    </row>
    <row r="278" spans="1:19" x14ac:dyDescent="0.35">
      <c r="A278" t="s">
        <v>579</v>
      </c>
      <c r="B278" t="s">
        <v>580</v>
      </c>
      <c r="C278" s="1">
        <v>45347</v>
      </c>
      <c r="D278" s="1">
        <v>45358</v>
      </c>
      <c r="E278" s="1">
        <v>45364</v>
      </c>
      <c r="F278" s="2">
        <f t="shared" si="20"/>
        <v>5</v>
      </c>
      <c r="G278" s="2" t="str">
        <f t="shared" si="21"/>
        <v>Sunday</v>
      </c>
      <c r="H278" s="2" t="str">
        <f t="shared" si="22"/>
        <v>February</v>
      </c>
      <c r="I278" t="s">
        <v>30</v>
      </c>
      <c r="J278" t="s">
        <v>31</v>
      </c>
      <c r="K278" t="s">
        <v>58</v>
      </c>
      <c r="L278" t="s">
        <v>23</v>
      </c>
      <c r="M278">
        <v>1454.41</v>
      </c>
      <c r="N278">
        <f t="shared" si="23"/>
        <v>6</v>
      </c>
      <c r="O278">
        <v>25</v>
      </c>
      <c r="P278" t="str">
        <f t="shared" si="24"/>
        <v>Yes</v>
      </c>
      <c r="Q278">
        <f>IF(Booking_Data[[#This Row],[Discounted Booking]]="Yes",1,0)</f>
        <v>1</v>
      </c>
      <c r="R278" t="s">
        <v>18</v>
      </c>
      <c r="S278">
        <f>IF(Booking_Data[[#This Row],[Cancellation Status]]="yes",1,0)</f>
        <v>1</v>
      </c>
    </row>
    <row r="279" spans="1:19" x14ac:dyDescent="0.35">
      <c r="A279" t="s">
        <v>581</v>
      </c>
      <c r="B279" t="s">
        <v>582</v>
      </c>
      <c r="C279" s="1">
        <v>45347</v>
      </c>
      <c r="D279" s="1">
        <v>45352</v>
      </c>
      <c r="E279" s="1">
        <v>45353</v>
      </c>
      <c r="F279" s="2">
        <f t="shared" si="20"/>
        <v>5</v>
      </c>
      <c r="G279" s="2" t="str">
        <f t="shared" si="21"/>
        <v>Sunday</v>
      </c>
      <c r="H279" s="2" t="str">
        <f t="shared" si="22"/>
        <v>February</v>
      </c>
      <c r="I279" t="s">
        <v>35</v>
      </c>
      <c r="J279" t="s">
        <v>15</v>
      </c>
      <c r="K279" t="s">
        <v>32</v>
      </c>
      <c r="L279" t="s">
        <v>17</v>
      </c>
      <c r="M279">
        <v>128.44</v>
      </c>
      <c r="N279">
        <f t="shared" si="23"/>
        <v>1</v>
      </c>
      <c r="O279">
        <v>20</v>
      </c>
      <c r="P279" t="str">
        <f t="shared" si="24"/>
        <v>Yes</v>
      </c>
      <c r="Q279">
        <f>IF(Booking_Data[[#This Row],[Discounted Booking]]="Yes",1,0)</f>
        <v>1</v>
      </c>
      <c r="R279" t="s">
        <v>24</v>
      </c>
      <c r="S279">
        <f>IF(Booking_Data[[#This Row],[Cancellation Status]]="yes",1,0)</f>
        <v>0</v>
      </c>
    </row>
    <row r="280" spans="1:19" x14ac:dyDescent="0.35">
      <c r="A280" t="s">
        <v>583</v>
      </c>
      <c r="B280" t="s">
        <v>584</v>
      </c>
      <c r="C280" s="1">
        <v>45347</v>
      </c>
      <c r="D280" s="1">
        <v>45363</v>
      </c>
      <c r="E280" s="1">
        <v>45366</v>
      </c>
      <c r="F280" s="2">
        <f t="shared" si="20"/>
        <v>5</v>
      </c>
      <c r="G280" s="2" t="str">
        <f t="shared" si="21"/>
        <v>Sunday</v>
      </c>
      <c r="H280" s="2" t="str">
        <f t="shared" si="22"/>
        <v>February</v>
      </c>
      <c r="I280" t="s">
        <v>14</v>
      </c>
      <c r="J280" t="s">
        <v>21</v>
      </c>
      <c r="K280" t="s">
        <v>22</v>
      </c>
      <c r="L280" t="s">
        <v>27</v>
      </c>
      <c r="M280">
        <v>119.65</v>
      </c>
      <c r="N280">
        <f t="shared" si="23"/>
        <v>3</v>
      </c>
      <c r="O280">
        <v>15</v>
      </c>
      <c r="P280" t="str">
        <f t="shared" si="24"/>
        <v>Yes</v>
      </c>
      <c r="Q280">
        <f>IF(Booking_Data[[#This Row],[Discounted Booking]]="Yes",1,0)</f>
        <v>1</v>
      </c>
      <c r="R280" t="s">
        <v>18</v>
      </c>
      <c r="S280">
        <f>IF(Booking_Data[[#This Row],[Cancellation Status]]="yes",1,0)</f>
        <v>1</v>
      </c>
    </row>
    <row r="281" spans="1:19" x14ac:dyDescent="0.35">
      <c r="A281" t="s">
        <v>585</v>
      </c>
      <c r="B281" t="s">
        <v>586</v>
      </c>
      <c r="C281" s="1">
        <v>45347</v>
      </c>
      <c r="D281" s="1">
        <v>45366</v>
      </c>
      <c r="E281" s="1">
        <v>45371</v>
      </c>
      <c r="F281" s="2">
        <f t="shared" si="20"/>
        <v>5</v>
      </c>
      <c r="G281" s="2" t="str">
        <f t="shared" si="21"/>
        <v>Sunday</v>
      </c>
      <c r="H281" s="2" t="str">
        <f t="shared" si="22"/>
        <v>February</v>
      </c>
      <c r="I281" t="s">
        <v>35</v>
      </c>
      <c r="J281" t="s">
        <v>36</v>
      </c>
      <c r="K281" t="s">
        <v>16</v>
      </c>
      <c r="L281" t="s">
        <v>23</v>
      </c>
      <c r="M281">
        <v>1274.3699999999999</v>
      </c>
      <c r="N281">
        <f t="shared" si="23"/>
        <v>5</v>
      </c>
      <c r="O281">
        <v>25</v>
      </c>
      <c r="P281" t="str">
        <f t="shared" si="24"/>
        <v>Yes</v>
      </c>
      <c r="Q281">
        <f>IF(Booking_Data[[#This Row],[Discounted Booking]]="Yes",1,0)</f>
        <v>1</v>
      </c>
      <c r="R281" t="s">
        <v>18</v>
      </c>
      <c r="S281">
        <f>IF(Booking_Data[[#This Row],[Cancellation Status]]="yes",1,0)</f>
        <v>1</v>
      </c>
    </row>
    <row r="282" spans="1:19" x14ac:dyDescent="0.35">
      <c r="A282" t="s">
        <v>587</v>
      </c>
      <c r="B282" t="s">
        <v>588</v>
      </c>
      <c r="C282" s="1">
        <v>45347</v>
      </c>
      <c r="D282" s="1">
        <v>45360</v>
      </c>
      <c r="E282" s="1">
        <v>45368</v>
      </c>
      <c r="F282" s="2">
        <f t="shared" si="20"/>
        <v>5</v>
      </c>
      <c r="G282" s="2" t="str">
        <f t="shared" si="21"/>
        <v>Sunday</v>
      </c>
      <c r="H282" s="2" t="str">
        <f t="shared" si="22"/>
        <v>February</v>
      </c>
      <c r="I282" t="s">
        <v>14</v>
      </c>
      <c r="J282" t="s">
        <v>31</v>
      </c>
      <c r="K282" t="s">
        <v>42</v>
      </c>
      <c r="L282" t="s">
        <v>17</v>
      </c>
      <c r="M282">
        <v>858.26</v>
      </c>
      <c r="N282">
        <f t="shared" si="23"/>
        <v>8</v>
      </c>
      <c r="O282">
        <v>0</v>
      </c>
      <c r="P282" t="str">
        <f t="shared" si="24"/>
        <v>No</v>
      </c>
      <c r="Q282">
        <f>IF(Booking_Data[[#This Row],[Discounted Booking]]="Yes",1,0)</f>
        <v>0</v>
      </c>
      <c r="R282" t="s">
        <v>24</v>
      </c>
      <c r="S282">
        <f>IF(Booking_Data[[#This Row],[Cancellation Status]]="yes",1,0)</f>
        <v>0</v>
      </c>
    </row>
    <row r="283" spans="1:19" x14ac:dyDescent="0.35">
      <c r="A283" t="s">
        <v>589</v>
      </c>
      <c r="B283" t="s">
        <v>590</v>
      </c>
      <c r="C283" s="1">
        <v>45347</v>
      </c>
      <c r="D283" s="1">
        <v>45375</v>
      </c>
      <c r="E283" s="1">
        <v>45379</v>
      </c>
      <c r="F283" s="2">
        <f t="shared" si="20"/>
        <v>5</v>
      </c>
      <c r="G283" s="2" t="str">
        <f t="shared" si="21"/>
        <v>Sunday</v>
      </c>
      <c r="H283" s="2" t="str">
        <f t="shared" si="22"/>
        <v>February</v>
      </c>
      <c r="I283" t="s">
        <v>14</v>
      </c>
      <c r="J283" t="s">
        <v>36</v>
      </c>
      <c r="K283" t="s">
        <v>49</v>
      </c>
      <c r="L283" t="s">
        <v>37</v>
      </c>
      <c r="M283">
        <v>1010.52</v>
      </c>
      <c r="N283">
        <f t="shared" si="23"/>
        <v>4</v>
      </c>
      <c r="O283">
        <v>25</v>
      </c>
      <c r="P283" t="str">
        <f t="shared" si="24"/>
        <v>Yes</v>
      </c>
      <c r="Q283">
        <f>IF(Booking_Data[[#This Row],[Discounted Booking]]="Yes",1,0)</f>
        <v>1</v>
      </c>
      <c r="R283" t="s">
        <v>24</v>
      </c>
      <c r="S283">
        <f>IF(Booking_Data[[#This Row],[Cancellation Status]]="yes",1,0)</f>
        <v>0</v>
      </c>
    </row>
    <row r="284" spans="1:19" x14ac:dyDescent="0.35">
      <c r="A284" t="s">
        <v>591</v>
      </c>
      <c r="B284" t="s">
        <v>592</v>
      </c>
      <c r="C284" s="1">
        <v>45347</v>
      </c>
      <c r="D284" s="1">
        <v>45359</v>
      </c>
      <c r="E284" s="1">
        <v>45363</v>
      </c>
      <c r="F284" s="2">
        <f t="shared" si="20"/>
        <v>5</v>
      </c>
      <c r="G284" s="2" t="str">
        <f t="shared" si="21"/>
        <v>Sunday</v>
      </c>
      <c r="H284" s="2" t="str">
        <f t="shared" si="22"/>
        <v>February</v>
      </c>
      <c r="I284" t="s">
        <v>30</v>
      </c>
      <c r="J284" t="s">
        <v>36</v>
      </c>
      <c r="K284" t="s">
        <v>49</v>
      </c>
      <c r="L284" t="s">
        <v>27</v>
      </c>
      <c r="M284">
        <v>1448.37</v>
      </c>
      <c r="N284">
        <f t="shared" si="23"/>
        <v>4</v>
      </c>
      <c r="O284">
        <v>0</v>
      </c>
      <c r="P284" t="str">
        <f t="shared" si="24"/>
        <v>No</v>
      </c>
      <c r="Q284">
        <f>IF(Booking_Data[[#This Row],[Discounted Booking]]="Yes",1,0)</f>
        <v>0</v>
      </c>
      <c r="R284" t="s">
        <v>24</v>
      </c>
      <c r="S284">
        <f>IF(Booking_Data[[#This Row],[Cancellation Status]]="yes",1,0)</f>
        <v>0</v>
      </c>
    </row>
    <row r="285" spans="1:19" x14ac:dyDescent="0.35">
      <c r="A285" t="s">
        <v>593</v>
      </c>
      <c r="B285" t="s">
        <v>594</v>
      </c>
      <c r="C285" s="1">
        <v>45347</v>
      </c>
      <c r="D285" s="1">
        <v>45364</v>
      </c>
      <c r="E285" s="1">
        <v>45371</v>
      </c>
      <c r="F285" s="2">
        <f t="shared" si="20"/>
        <v>5</v>
      </c>
      <c r="G285" s="2" t="str">
        <f t="shared" si="21"/>
        <v>Sunday</v>
      </c>
      <c r="H285" s="2" t="str">
        <f t="shared" si="22"/>
        <v>February</v>
      </c>
      <c r="I285" t="s">
        <v>30</v>
      </c>
      <c r="J285" t="s">
        <v>31</v>
      </c>
      <c r="K285" t="s">
        <v>16</v>
      </c>
      <c r="L285" t="s">
        <v>23</v>
      </c>
      <c r="M285">
        <v>1151.8</v>
      </c>
      <c r="N285">
        <f t="shared" si="23"/>
        <v>7</v>
      </c>
      <c r="O285">
        <v>25</v>
      </c>
      <c r="P285" t="str">
        <f t="shared" si="24"/>
        <v>Yes</v>
      </c>
      <c r="Q285">
        <f>IF(Booking_Data[[#This Row],[Discounted Booking]]="Yes",1,0)</f>
        <v>1</v>
      </c>
      <c r="R285" t="s">
        <v>18</v>
      </c>
      <c r="S285">
        <f>IF(Booking_Data[[#This Row],[Cancellation Status]]="yes",1,0)</f>
        <v>1</v>
      </c>
    </row>
    <row r="286" spans="1:19" x14ac:dyDescent="0.35">
      <c r="A286" t="s">
        <v>595</v>
      </c>
      <c r="B286" t="s">
        <v>596</v>
      </c>
      <c r="C286" s="1">
        <v>45348</v>
      </c>
      <c r="D286" s="1">
        <v>45364</v>
      </c>
      <c r="E286" s="1">
        <v>45371</v>
      </c>
      <c r="F286" s="2">
        <f t="shared" si="20"/>
        <v>5</v>
      </c>
      <c r="G286" s="2" t="str">
        <f t="shared" si="21"/>
        <v>Monday</v>
      </c>
      <c r="H286" s="2" t="str">
        <f t="shared" si="22"/>
        <v>February</v>
      </c>
      <c r="I286" t="s">
        <v>30</v>
      </c>
      <c r="J286" t="s">
        <v>31</v>
      </c>
      <c r="K286" t="s">
        <v>42</v>
      </c>
      <c r="L286" t="s">
        <v>17</v>
      </c>
      <c r="M286">
        <v>573.47</v>
      </c>
      <c r="N286">
        <f t="shared" si="23"/>
        <v>7</v>
      </c>
      <c r="O286">
        <v>25</v>
      </c>
      <c r="P286" t="str">
        <f t="shared" si="24"/>
        <v>Yes</v>
      </c>
      <c r="Q286">
        <f>IF(Booking_Data[[#This Row],[Discounted Booking]]="Yes",1,0)</f>
        <v>1</v>
      </c>
      <c r="R286" t="s">
        <v>18</v>
      </c>
      <c r="S286">
        <f>IF(Booking_Data[[#This Row],[Cancellation Status]]="yes",1,0)</f>
        <v>1</v>
      </c>
    </row>
    <row r="287" spans="1:19" x14ac:dyDescent="0.35">
      <c r="A287" t="s">
        <v>597</v>
      </c>
      <c r="B287" t="s">
        <v>598</v>
      </c>
      <c r="C287" s="1">
        <v>45348</v>
      </c>
      <c r="D287" s="1">
        <v>45350</v>
      </c>
      <c r="E287" s="1">
        <v>45354</v>
      </c>
      <c r="F287" s="2">
        <f t="shared" si="20"/>
        <v>5</v>
      </c>
      <c r="G287" s="2" t="str">
        <f t="shared" si="21"/>
        <v>Monday</v>
      </c>
      <c r="H287" s="2" t="str">
        <f t="shared" si="22"/>
        <v>February</v>
      </c>
      <c r="I287" t="s">
        <v>35</v>
      </c>
      <c r="J287" t="s">
        <v>36</v>
      </c>
      <c r="K287" t="s">
        <v>22</v>
      </c>
      <c r="L287" t="s">
        <v>37</v>
      </c>
      <c r="M287">
        <v>685.1</v>
      </c>
      <c r="N287">
        <f t="shared" si="23"/>
        <v>4</v>
      </c>
      <c r="O287">
        <v>25</v>
      </c>
      <c r="P287" t="str">
        <f t="shared" si="24"/>
        <v>Yes</v>
      </c>
      <c r="Q287">
        <f>IF(Booking_Data[[#This Row],[Discounted Booking]]="Yes",1,0)</f>
        <v>1</v>
      </c>
      <c r="R287" t="s">
        <v>24</v>
      </c>
      <c r="S287">
        <f>IF(Booking_Data[[#This Row],[Cancellation Status]]="yes",1,0)</f>
        <v>0</v>
      </c>
    </row>
    <row r="288" spans="1:19" x14ac:dyDescent="0.35">
      <c r="A288" t="s">
        <v>599</v>
      </c>
      <c r="B288" t="s">
        <v>600</v>
      </c>
      <c r="C288" s="1">
        <v>45348</v>
      </c>
      <c r="D288" s="1">
        <v>45377</v>
      </c>
      <c r="E288" s="1">
        <v>45383</v>
      </c>
      <c r="F288" s="2">
        <f t="shared" si="20"/>
        <v>5</v>
      </c>
      <c r="G288" s="2" t="str">
        <f t="shared" si="21"/>
        <v>Monday</v>
      </c>
      <c r="H288" s="2" t="str">
        <f t="shared" si="22"/>
        <v>February</v>
      </c>
      <c r="I288" t="s">
        <v>30</v>
      </c>
      <c r="J288" t="s">
        <v>36</v>
      </c>
      <c r="K288" t="s">
        <v>42</v>
      </c>
      <c r="L288" t="s">
        <v>37</v>
      </c>
      <c r="M288">
        <v>285.76</v>
      </c>
      <c r="N288">
        <f t="shared" si="23"/>
        <v>6</v>
      </c>
      <c r="O288">
        <v>20</v>
      </c>
      <c r="P288" t="str">
        <f t="shared" si="24"/>
        <v>Yes</v>
      </c>
      <c r="Q288">
        <f>IF(Booking_Data[[#This Row],[Discounted Booking]]="Yes",1,0)</f>
        <v>1</v>
      </c>
      <c r="R288" t="s">
        <v>24</v>
      </c>
      <c r="S288">
        <f>IF(Booking_Data[[#This Row],[Cancellation Status]]="yes",1,0)</f>
        <v>0</v>
      </c>
    </row>
    <row r="289" spans="1:19" x14ac:dyDescent="0.35">
      <c r="A289" t="s">
        <v>601</v>
      </c>
      <c r="B289" t="s">
        <v>602</v>
      </c>
      <c r="C289" s="1">
        <v>45348</v>
      </c>
      <c r="D289" s="1">
        <v>45365</v>
      </c>
      <c r="E289" s="1">
        <v>45372</v>
      </c>
      <c r="F289" s="2">
        <f t="shared" si="20"/>
        <v>5</v>
      </c>
      <c r="G289" s="2" t="str">
        <f t="shared" si="21"/>
        <v>Monday</v>
      </c>
      <c r="H289" s="2" t="str">
        <f t="shared" si="22"/>
        <v>February</v>
      </c>
      <c r="I289" t="s">
        <v>35</v>
      </c>
      <c r="J289" t="s">
        <v>21</v>
      </c>
      <c r="K289" t="s">
        <v>58</v>
      </c>
      <c r="L289" t="s">
        <v>37</v>
      </c>
      <c r="M289">
        <v>160.36000000000001</v>
      </c>
      <c r="N289">
        <f t="shared" si="23"/>
        <v>7</v>
      </c>
      <c r="O289">
        <v>15</v>
      </c>
      <c r="P289" t="str">
        <f t="shared" si="24"/>
        <v>Yes</v>
      </c>
      <c r="Q289">
        <f>IF(Booking_Data[[#This Row],[Discounted Booking]]="Yes",1,0)</f>
        <v>1</v>
      </c>
      <c r="R289" t="s">
        <v>18</v>
      </c>
      <c r="S289">
        <f>IF(Booking_Data[[#This Row],[Cancellation Status]]="yes",1,0)</f>
        <v>1</v>
      </c>
    </row>
    <row r="290" spans="1:19" x14ac:dyDescent="0.35">
      <c r="A290" t="s">
        <v>603</v>
      </c>
      <c r="B290" t="s">
        <v>604</v>
      </c>
      <c r="C290" s="1">
        <v>45348</v>
      </c>
      <c r="D290" s="1">
        <v>45361</v>
      </c>
      <c r="E290" s="1">
        <v>45364</v>
      </c>
      <c r="F290" s="2">
        <f t="shared" si="20"/>
        <v>5</v>
      </c>
      <c r="G290" s="2" t="str">
        <f t="shared" si="21"/>
        <v>Monday</v>
      </c>
      <c r="H290" s="2" t="str">
        <f t="shared" si="22"/>
        <v>February</v>
      </c>
      <c r="I290" t="s">
        <v>35</v>
      </c>
      <c r="J290" t="s">
        <v>21</v>
      </c>
      <c r="K290" t="s">
        <v>58</v>
      </c>
      <c r="L290" t="s">
        <v>27</v>
      </c>
      <c r="M290">
        <v>654.20000000000005</v>
      </c>
      <c r="N290">
        <f t="shared" si="23"/>
        <v>3</v>
      </c>
      <c r="O290">
        <v>20</v>
      </c>
      <c r="P290" t="str">
        <f t="shared" si="24"/>
        <v>Yes</v>
      </c>
      <c r="Q290">
        <f>IF(Booking_Data[[#This Row],[Discounted Booking]]="Yes",1,0)</f>
        <v>1</v>
      </c>
      <c r="R290" t="s">
        <v>24</v>
      </c>
      <c r="S290">
        <f>IF(Booking_Data[[#This Row],[Cancellation Status]]="yes",1,0)</f>
        <v>0</v>
      </c>
    </row>
    <row r="291" spans="1:19" x14ac:dyDescent="0.35">
      <c r="A291" t="s">
        <v>605</v>
      </c>
      <c r="B291" t="s">
        <v>606</v>
      </c>
      <c r="C291" s="1">
        <v>45348</v>
      </c>
      <c r="D291" s="1">
        <v>45363</v>
      </c>
      <c r="E291" s="1">
        <v>45365</v>
      </c>
      <c r="F291" s="2">
        <f t="shared" si="20"/>
        <v>5</v>
      </c>
      <c r="G291" s="2" t="str">
        <f t="shared" si="21"/>
        <v>Monday</v>
      </c>
      <c r="H291" s="2" t="str">
        <f t="shared" si="22"/>
        <v>February</v>
      </c>
      <c r="I291" t="s">
        <v>14</v>
      </c>
      <c r="J291" t="s">
        <v>31</v>
      </c>
      <c r="K291" t="s">
        <v>22</v>
      </c>
      <c r="L291" t="s">
        <v>37</v>
      </c>
      <c r="M291">
        <v>1450.36</v>
      </c>
      <c r="N291">
        <f t="shared" si="23"/>
        <v>2</v>
      </c>
      <c r="O291">
        <v>10</v>
      </c>
      <c r="P291" t="str">
        <f t="shared" si="24"/>
        <v>Yes</v>
      </c>
      <c r="Q291">
        <f>IF(Booking_Data[[#This Row],[Discounted Booking]]="Yes",1,0)</f>
        <v>1</v>
      </c>
      <c r="R291" t="s">
        <v>18</v>
      </c>
      <c r="S291">
        <f>IF(Booking_Data[[#This Row],[Cancellation Status]]="yes",1,0)</f>
        <v>1</v>
      </c>
    </row>
    <row r="292" spans="1:19" x14ac:dyDescent="0.35">
      <c r="A292" t="s">
        <v>607</v>
      </c>
      <c r="B292" t="s">
        <v>608</v>
      </c>
      <c r="C292" s="1">
        <v>45348</v>
      </c>
      <c r="D292" s="1">
        <v>45352</v>
      </c>
      <c r="E292" s="1">
        <v>45355</v>
      </c>
      <c r="F292" s="2">
        <f t="shared" si="20"/>
        <v>5</v>
      </c>
      <c r="G292" s="2" t="str">
        <f t="shared" si="21"/>
        <v>Monday</v>
      </c>
      <c r="H292" s="2" t="str">
        <f t="shared" si="22"/>
        <v>February</v>
      </c>
      <c r="I292" t="s">
        <v>30</v>
      </c>
      <c r="J292" t="s">
        <v>36</v>
      </c>
      <c r="K292" t="s">
        <v>58</v>
      </c>
      <c r="L292" t="s">
        <v>17</v>
      </c>
      <c r="M292">
        <v>448.54</v>
      </c>
      <c r="N292">
        <f t="shared" si="23"/>
        <v>3</v>
      </c>
      <c r="O292">
        <v>0</v>
      </c>
      <c r="P292" t="str">
        <f t="shared" si="24"/>
        <v>No</v>
      </c>
      <c r="Q292">
        <f>IF(Booking_Data[[#This Row],[Discounted Booking]]="Yes",1,0)</f>
        <v>0</v>
      </c>
      <c r="R292" t="s">
        <v>18</v>
      </c>
      <c r="S292">
        <f>IF(Booking_Data[[#This Row],[Cancellation Status]]="yes",1,0)</f>
        <v>1</v>
      </c>
    </row>
    <row r="293" spans="1:19" x14ac:dyDescent="0.35">
      <c r="A293" t="s">
        <v>609</v>
      </c>
      <c r="B293" t="s">
        <v>610</v>
      </c>
      <c r="C293" s="1">
        <v>45349</v>
      </c>
      <c r="D293" s="1">
        <v>45378</v>
      </c>
      <c r="E293" s="1">
        <v>45381</v>
      </c>
      <c r="F293" s="2">
        <f t="shared" si="20"/>
        <v>5</v>
      </c>
      <c r="G293" s="2" t="str">
        <f t="shared" si="21"/>
        <v>Tuesday</v>
      </c>
      <c r="H293" s="2" t="str">
        <f t="shared" si="22"/>
        <v>February</v>
      </c>
      <c r="I293" t="s">
        <v>30</v>
      </c>
      <c r="J293" t="s">
        <v>15</v>
      </c>
      <c r="K293" t="s">
        <v>58</v>
      </c>
      <c r="L293" t="s">
        <v>27</v>
      </c>
      <c r="M293">
        <v>943.23</v>
      </c>
      <c r="N293">
        <f t="shared" si="23"/>
        <v>3</v>
      </c>
      <c r="O293">
        <v>15</v>
      </c>
      <c r="P293" t="str">
        <f t="shared" si="24"/>
        <v>Yes</v>
      </c>
      <c r="Q293">
        <f>IF(Booking_Data[[#This Row],[Discounted Booking]]="Yes",1,0)</f>
        <v>1</v>
      </c>
      <c r="R293" t="s">
        <v>18</v>
      </c>
      <c r="S293">
        <f>IF(Booking_Data[[#This Row],[Cancellation Status]]="yes",1,0)</f>
        <v>1</v>
      </c>
    </row>
    <row r="294" spans="1:19" x14ac:dyDescent="0.35">
      <c r="A294" t="s">
        <v>611</v>
      </c>
      <c r="B294" t="s">
        <v>612</v>
      </c>
      <c r="C294" s="1">
        <v>45349</v>
      </c>
      <c r="D294" s="1">
        <v>45371</v>
      </c>
      <c r="E294" s="1">
        <v>45380</v>
      </c>
      <c r="F294" s="2">
        <f t="shared" si="20"/>
        <v>5</v>
      </c>
      <c r="G294" s="2" t="str">
        <f t="shared" si="21"/>
        <v>Tuesday</v>
      </c>
      <c r="H294" s="2" t="str">
        <f t="shared" si="22"/>
        <v>February</v>
      </c>
      <c r="I294" t="s">
        <v>14</v>
      </c>
      <c r="J294" t="s">
        <v>36</v>
      </c>
      <c r="K294" t="s">
        <v>58</v>
      </c>
      <c r="L294" t="s">
        <v>27</v>
      </c>
      <c r="M294">
        <v>674.37</v>
      </c>
      <c r="N294">
        <f t="shared" si="23"/>
        <v>9</v>
      </c>
      <c r="O294">
        <v>25</v>
      </c>
      <c r="P294" t="str">
        <f t="shared" si="24"/>
        <v>Yes</v>
      </c>
      <c r="Q294">
        <f>IF(Booking_Data[[#This Row],[Discounted Booking]]="Yes",1,0)</f>
        <v>1</v>
      </c>
      <c r="R294" t="s">
        <v>24</v>
      </c>
      <c r="S294">
        <f>IF(Booking_Data[[#This Row],[Cancellation Status]]="yes",1,0)</f>
        <v>0</v>
      </c>
    </row>
    <row r="295" spans="1:19" x14ac:dyDescent="0.35">
      <c r="A295" t="s">
        <v>613</v>
      </c>
      <c r="B295" t="s">
        <v>614</v>
      </c>
      <c r="C295" s="1">
        <v>45349</v>
      </c>
      <c r="D295" s="1">
        <v>45360</v>
      </c>
      <c r="E295" s="1">
        <v>45362</v>
      </c>
      <c r="F295" s="2">
        <f t="shared" si="20"/>
        <v>5</v>
      </c>
      <c r="G295" s="2" t="str">
        <f t="shared" si="21"/>
        <v>Tuesday</v>
      </c>
      <c r="H295" s="2" t="str">
        <f t="shared" si="22"/>
        <v>February</v>
      </c>
      <c r="I295" t="s">
        <v>14</v>
      </c>
      <c r="J295" t="s">
        <v>21</v>
      </c>
      <c r="K295" t="s">
        <v>58</v>
      </c>
      <c r="L295" t="s">
        <v>27</v>
      </c>
      <c r="M295">
        <v>857.63</v>
      </c>
      <c r="N295">
        <f t="shared" si="23"/>
        <v>2</v>
      </c>
      <c r="O295">
        <v>0</v>
      </c>
      <c r="P295" t="str">
        <f t="shared" si="24"/>
        <v>No</v>
      </c>
      <c r="Q295">
        <f>IF(Booking_Data[[#This Row],[Discounted Booking]]="Yes",1,0)</f>
        <v>0</v>
      </c>
      <c r="R295" t="s">
        <v>18</v>
      </c>
      <c r="S295">
        <f>IF(Booking_Data[[#This Row],[Cancellation Status]]="yes",1,0)</f>
        <v>1</v>
      </c>
    </row>
    <row r="296" spans="1:19" x14ac:dyDescent="0.35">
      <c r="A296" t="s">
        <v>615</v>
      </c>
      <c r="B296" t="s">
        <v>616</v>
      </c>
      <c r="C296" s="1">
        <v>45349</v>
      </c>
      <c r="D296" s="1">
        <v>45366</v>
      </c>
      <c r="E296" s="1">
        <v>45371</v>
      </c>
      <c r="F296" s="2">
        <f t="shared" si="20"/>
        <v>5</v>
      </c>
      <c r="G296" s="2" t="str">
        <f t="shared" si="21"/>
        <v>Tuesday</v>
      </c>
      <c r="H296" s="2" t="str">
        <f t="shared" si="22"/>
        <v>February</v>
      </c>
      <c r="I296" t="s">
        <v>30</v>
      </c>
      <c r="J296" t="s">
        <v>36</v>
      </c>
      <c r="K296" t="s">
        <v>32</v>
      </c>
      <c r="L296" t="s">
        <v>17</v>
      </c>
      <c r="M296">
        <v>786.41</v>
      </c>
      <c r="N296">
        <f t="shared" si="23"/>
        <v>5</v>
      </c>
      <c r="O296">
        <v>20</v>
      </c>
      <c r="P296" t="str">
        <f t="shared" si="24"/>
        <v>Yes</v>
      </c>
      <c r="Q296">
        <f>IF(Booking_Data[[#This Row],[Discounted Booking]]="Yes",1,0)</f>
        <v>1</v>
      </c>
      <c r="R296" t="s">
        <v>18</v>
      </c>
      <c r="S296">
        <f>IF(Booking_Data[[#This Row],[Cancellation Status]]="yes",1,0)</f>
        <v>1</v>
      </c>
    </row>
    <row r="297" spans="1:19" x14ac:dyDescent="0.35">
      <c r="A297" t="s">
        <v>617</v>
      </c>
      <c r="B297" t="s">
        <v>618</v>
      </c>
      <c r="C297" s="1">
        <v>45349</v>
      </c>
      <c r="D297" s="1">
        <v>45377</v>
      </c>
      <c r="E297" s="1">
        <v>45385</v>
      </c>
      <c r="F297" s="2">
        <f t="shared" si="20"/>
        <v>5</v>
      </c>
      <c r="G297" s="2" t="str">
        <f t="shared" si="21"/>
        <v>Tuesday</v>
      </c>
      <c r="H297" s="2" t="str">
        <f t="shared" si="22"/>
        <v>February</v>
      </c>
      <c r="I297" t="s">
        <v>35</v>
      </c>
      <c r="J297" t="s">
        <v>31</v>
      </c>
      <c r="K297" t="s">
        <v>49</v>
      </c>
      <c r="L297" t="s">
        <v>17</v>
      </c>
      <c r="M297">
        <v>1365.7</v>
      </c>
      <c r="N297">
        <f t="shared" si="23"/>
        <v>8</v>
      </c>
      <c r="O297">
        <v>0</v>
      </c>
      <c r="P297" t="str">
        <f t="shared" si="24"/>
        <v>No</v>
      </c>
      <c r="Q297">
        <f>IF(Booking_Data[[#This Row],[Discounted Booking]]="Yes",1,0)</f>
        <v>0</v>
      </c>
      <c r="R297" t="s">
        <v>24</v>
      </c>
      <c r="S297">
        <f>IF(Booking_Data[[#This Row],[Cancellation Status]]="yes",1,0)</f>
        <v>0</v>
      </c>
    </row>
    <row r="298" spans="1:19" x14ac:dyDescent="0.35">
      <c r="A298" t="s">
        <v>619</v>
      </c>
      <c r="B298" t="s">
        <v>620</v>
      </c>
      <c r="C298" s="1">
        <v>45349</v>
      </c>
      <c r="D298" s="1">
        <v>45378</v>
      </c>
      <c r="E298" s="1">
        <v>45382</v>
      </c>
      <c r="F298" s="2">
        <f t="shared" si="20"/>
        <v>5</v>
      </c>
      <c r="G298" s="2" t="str">
        <f t="shared" si="21"/>
        <v>Tuesday</v>
      </c>
      <c r="H298" s="2" t="str">
        <f t="shared" si="22"/>
        <v>February</v>
      </c>
      <c r="I298" t="s">
        <v>30</v>
      </c>
      <c r="J298" t="s">
        <v>36</v>
      </c>
      <c r="K298" t="s">
        <v>16</v>
      </c>
      <c r="L298" t="s">
        <v>37</v>
      </c>
      <c r="M298">
        <v>327.71</v>
      </c>
      <c r="N298">
        <f t="shared" si="23"/>
        <v>4</v>
      </c>
      <c r="O298">
        <v>20</v>
      </c>
      <c r="P298" t="str">
        <f t="shared" si="24"/>
        <v>Yes</v>
      </c>
      <c r="Q298">
        <f>IF(Booking_Data[[#This Row],[Discounted Booking]]="Yes",1,0)</f>
        <v>1</v>
      </c>
      <c r="R298" t="s">
        <v>24</v>
      </c>
      <c r="S298">
        <f>IF(Booking_Data[[#This Row],[Cancellation Status]]="yes",1,0)</f>
        <v>0</v>
      </c>
    </row>
    <row r="299" spans="1:19" x14ac:dyDescent="0.35">
      <c r="A299" t="s">
        <v>621</v>
      </c>
      <c r="B299" t="s">
        <v>622</v>
      </c>
      <c r="C299" s="1">
        <v>45349</v>
      </c>
      <c r="D299" s="1">
        <v>45373</v>
      </c>
      <c r="E299" s="1">
        <v>45381</v>
      </c>
      <c r="F299" s="2">
        <f t="shared" si="20"/>
        <v>5</v>
      </c>
      <c r="G299" s="2" t="str">
        <f t="shared" si="21"/>
        <v>Tuesday</v>
      </c>
      <c r="H299" s="2" t="str">
        <f t="shared" si="22"/>
        <v>February</v>
      </c>
      <c r="I299" t="s">
        <v>35</v>
      </c>
      <c r="J299" t="s">
        <v>31</v>
      </c>
      <c r="K299" t="s">
        <v>22</v>
      </c>
      <c r="L299" t="s">
        <v>23</v>
      </c>
      <c r="M299">
        <v>214.03</v>
      </c>
      <c r="N299">
        <f t="shared" si="23"/>
        <v>8</v>
      </c>
      <c r="O299">
        <v>15</v>
      </c>
      <c r="P299" t="str">
        <f t="shared" si="24"/>
        <v>Yes</v>
      </c>
      <c r="Q299">
        <f>IF(Booking_Data[[#This Row],[Discounted Booking]]="Yes",1,0)</f>
        <v>1</v>
      </c>
      <c r="R299" t="s">
        <v>18</v>
      </c>
      <c r="S299">
        <f>IF(Booking_Data[[#This Row],[Cancellation Status]]="yes",1,0)</f>
        <v>1</v>
      </c>
    </row>
    <row r="300" spans="1:19" x14ac:dyDescent="0.35">
      <c r="A300" t="s">
        <v>623</v>
      </c>
      <c r="B300" t="s">
        <v>624</v>
      </c>
      <c r="C300" s="1">
        <v>45350</v>
      </c>
      <c r="D300" s="1">
        <v>45377</v>
      </c>
      <c r="E300" s="1">
        <v>45381</v>
      </c>
      <c r="F300" s="2">
        <f t="shared" si="20"/>
        <v>5</v>
      </c>
      <c r="G300" s="2" t="str">
        <f t="shared" si="21"/>
        <v>Wednesday</v>
      </c>
      <c r="H300" s="2" t="str">
        <f t="shared" si="22"/>
        <v>February</v>
      </c>
      <c r="I300" t="s">
        <v>35</v>
      </c>
      <c r="J300" t="s">
        <v>21</v>
      </c>
      <c r="K300" t="s">
        <v>22</v>
      </c>
      <c r="L300" t="s">
        <v>27</v>
      </c>
      <c r="M300">
        <v>291.49</v>
      </c>
      <c r="N300">
        <f t="shared" si="23"/>
        <v>4</v>
      </c>
      <c r="O300">
        <v>25</v>
      </c>
      <c r="P300" t="str">
        <f t="shared" si="24"/>
        <v>Yes</v>
      </c>
      <c r="Q300">
        <f>IF(Booking_Data[[#This Row],[Discounted Booking]]="Yes",1,0)</f>
        <v>1</v>
      </c>
      <c r="R300" t="s">
        <v>18</v>
      </c>
      <c r="S300">
        <f>IF(Booking_Data[[#This Row],[Cancellation Status]]="yes",1,0)</f>
        <v>1</v>
      </c>
    </row>
    <row r="301" spans="1:19" x14ac:dyDescent="0.35">
      <c r="A301" t="s">
        <v>625</v>
      </c>
      <c r="B301" t="s">
        <v>626</v>
      </c>
      <c r="C301" s="1">
        <v>45350</v>
      </c>
      <c r="D301" s="1">
        <v>45362</v>
      </c>
      <c r="E301" s="1">
        <v>45365</v>
      </c>
      <c r="F301" s="2">
        <f t="shared" si="20"/>
        <v>5</v>
      </c>
      <c r="G301" s="2" t="str">
        <f t="shared" si="21"/>
        <v>Wednesday</v>
      </c>
      <c r="H301" s="2" t="str">
        <f t="shared" si="22"/>
        <v>February</v>
      </c>
      <c r="I301" t="s">
        <v>30</v>
      </c>
      <c r="J301" t="s">
        <v>31</v>
      </c>
      <c r="K301" t="s">
        <v>58</v>
      </c>
      <c r="L301" t="s">
        <v>17</v>
      </c>
      <c r="M301">
        <v>1027.05</v>
      </c>
      <c r="N301">
        <f t="shared" si="23"/>
        <v>3</v>
      </c>
      <c r="O301">
        <v>5</v>
      </c>
      <c r="P301" t="str">
        <f t="shared" si="24"/>
        <v>Yes</v>
      </c>
      <c r="Q301">
        <f>IF(Booking_Data[[#This Row],[Discounted Booking]]="Yes",1,0)</f>
        <v>1</v>
      </c>
      <c r="R301" t="s">
        <v>18</v>
      </c>
      <c r="S301">
        <f>IF(Booking_Data[[#This Row],[Cancellation Status]]="yes",1,0)</f>
        <v>1</v>
      </c>
    </row>
    <row r="302" spans="1:19" x14ac:dyDescent="0.35">
      <c r="A302" t="s">
        <v>627</v>
      </c>
      <c r="B302" t="s">
        <v>628</v>
      </c>
      <c r="C302" s="1">
        <v>45350</v>
      </c>
      <c r="D302" s="1">
        <v>45377</v>
      </c>
      <c r="E302" s="1">
        <v>45387</v>
      </c>
      <c r="F302" s="2">
        <f t="shared" si="20"/>
        <v>5</v>
      </c>
      <c r="G302" s="2" t="str">
        <f t="shared" si="21"/>
        <v>Wednesday</v>
      </c>
      <c r="H302" s="2" t="str">
        <f t="shared" si="22"/>
        <v>February</v>
      </c>
      <c r="I302" t="s">
        <v>14</v>
      </c>
      <c r="J302" t="s">
        <v>36</v>
      </c>
      <c r="K302" t="s">
        <v>16</v>
      </c>
      <c r="L302" t="s">
        <v>27</v>
      </c>
      <c r="M302">
        <v>1407.86</v>
      </c>
      <c r="N302">
        <f t="shared" si="23"/>
        <v>10</v>
      </c>
      <c r="O302">
        <v>15</v>
      </c>
      <c r="P302" t="str">
        <f t="shared" si="24"/>
        <v>Yes</v>
      </c>
      <c r="Q302">
        <f>IF(Booking_Data[[#This Row],[Discounted Booking]]="Yes",1,0)</f>
        <v>1</v>
      </c>
      <c r="R302" t="s">
        <v>18</v>
      </c>
      <c r="S302">
        <f>IF(Booking_Data[[#This Row],[Cancellation Status]]="yes",1,0)</f>
        <v>1</v>
      </c>
    </row>
    <row r="303" spans="1:19" x14ac:dyDescent="0.35">
      <c r="A303" t="s">
        <v>629</v>
      </c>
      <c r="B303" t="s">
        <v>630</v>
      </c>
      <c r="C303" s="1">
        <v>45350</v>
      </c>
      <c r="D303" s="1">
        <v>45369</v>
      </c>
      <c r="E303" s="1">
        <v>45379</v>
      </c>
      <c r="F303" s="2">
        <f t="shared" si="20"/>
        <v>5</v>
      </c>
      <c r="G303" s="2" t="str">
        <f t="shared" si="21"/>
        <v>Wednesday</v>
      </c>
      <c r="H303" s="2" t="str">
        <f t="shared" si="22"/>
        <v>February</v>
      </c>
      <c r="I303" t="s">
        <v>35</v>
      </c>
      <c r="J303" t="s">
        <v>31</v>
      </c>
      <c r="K303" t="s">
        <v>22</v>
      </c>
      <c r="L303" t="s">
        <v>37</v>
      </c>
      <c r="M303">
        <v>1115.45</v>
      </c>
      <c r="N303">
        <f t="shared" si="23"/>
        <v>10</v>
      </c>
      <c r="O303">
        <v>10</v>
      </c>
      <c r="P303" t="str">
        <f t="shared" si="24"/>
        <v>Yes</v>
      </c>
      <c r="Q303">
        <f>IF(Booking_Data[[#This Row],[Discounted Booking]]="Yes",1,0)</f>
        <v>1</v>
      </c>
      <c r="R303" t="s">
        <v>24</v>
      </c>
      <c r="S303">
        <f>IF(Booking_Data[[#This Row],[Cancellation Status]]="yes",1,0)</f>
        <v>0</v>
      </c>
    </row>
    <row r="304" spans="1:19" x14ac:dyDescent="0.35">
      <c r="A304" t="s">
        <v>631</v>
      </c>
      <c r="B304" t="s">
        <v>632</v>
      </c>
      <c r="C304" s="1">
        <v>45350</v>
      </c>
      <c r="D304" s="1">
        <v>45369</v>
      </c>
      <c r="E304" s="1">
        <v>45371</v>
      </c>
      <c r="F304" s="2">
        <f t="shared" si="20"/>
        <v>5</v>
      </c>
      <c r="G304" s="2" t="str">
        <f t="shared" si="21"/>
        <v>Wednesday</v>
      </c>
      <c r="H304" s="2" t="str">
        <f t="shared" si="22"/>
        <v>February</v>
      </c>
      <c r="I304" t="s">
        <v>35</v>
      </c>
      <c r="J304" t="s">
        <v>15</v>
      </c>
      <c r="K304" t="s">
        <v>22</v>
      </c>
      <c r="L304" t="s">
        <v>27</v>
      </c>
      <c r="M304">
        <v>158.71</v>
      </c>
      <c r="N304">
        <f t="shared" si="23"/>
        <v>2</v>
      </c>
      <c r="O304">
        <v>5</v>
      </c>
      <c r="P304" t="str">
        <f t="shared" si="24"/>
        <v>Yes</v>
      </c>
      <c r="Q304">
        <f>IF(Booking_Data[[#This Row],[Discounted Booking]]="Yes",1,0)</f>
        <v>1</v>
      </c>
      <c r="R304" t="s">
        <v>24</v>
      </c>
      <c r="S304">
        <f>IF(Booking_Data[[#This Row],[Cancellation Status]]="yes",1,0)</f>
        <v>0</v>
      </c>
    </row>
    <row r="305" spans="1:19" x14ac:dyDescent="0.35">
      <c r="A305" t="s">
        <v>633</v>
      </c>
      <c r="B305" t="s">
        <v>634</v>
      </c>
      <c r="C305" s="1">
        <v>45350</v>
      </c>
      <c r="D305" s="1">
        <v>45356</v>
      </c>
      <c r="E305" s="1">
        <v>45363</v>
      </c>
      <c r="F305" s="2">
        <f t="shared" si="20"/>
        <v>5</v>
      </c>
      <c r="G305" s="2" t="str">
        <f t="shared" si="21"/>
        <v>Wednesday</v>
      </c>
      <c r="H305" s="2" t="str">
        <f t="shared" si="22"/>
        <v>February</v>
      </c>
      <c r="I305" t="s">
        <v>14</v>
      </c>
      <c r="J305" t="s">
        <v>36</v>
      </c>
      <c r="K305" t="s">
        <v>49</v>
      </c>
      <c r="L305" t="s">
        <v>17</v>
      </c>
      <c r="M305">
        <v>1101.69</v>
      </c>
      <c r="N305">
        <f t="shared" si="23"/>
        <v>7</v>
      </c>
      <c r="O305">
        <v>5</v>
      </c>
      <c r="P305" t="str">
        <f t="shared" si="24"/>
        <v>Yes</v>
      </c>
      <c r="Q305">
        <f>IF(Booking_Data[[#This Row],[Discounted Booking]]="Yes",1,0)</f>
        <v>1</v>
      </c>
      <c r="R305" t="s">
        <v>18</v>
      </c>
      <c r="S305">
        <f>IF(Booking_Data[[#This Row],[Cancellation Status]]="yes",1,0)</f>
        <v>1</v>
      </c>
    </row>
    <row r="306" spans="1:19" x14ac:dyDescent="0.35">
      <c r="A306" t="s">
        <v>635</v>
      </c>
      <c r="B306" t="s">
        <v>636</v>
      </c>
      <c r="C306" s="1">
        <v>45350</v>
      </c>
      <c r="D306" s="1">
        <v>45375</v>
      </c>
      <c r="E306" s="1">
        <v>45382</v>
      </c>
      <c r="F306" s="2">
        <f t="shared" si="20"/>
        <v>5</v>
      </c>
      <c r="G306" s="2" t="str">
        <f t="shared" si="21"/>
        <v>Wednesday</v>
      </c>
      <c r="H306" s="2" t="str">
        <f t="shared" si="22"/>
        <v>February</v>
      </c>
      <c r="I306" t="s">
        <v>14</v>
      </c>
      <c r="J306" t="s">
        <v>31</v>
      </c>
      <c r="K306" t="s">
        <v>32</v>
      </c>
      <c r="L306" t="s">
        <v>23</v>
      </c>
      <c r="M306">
        <v>632.92999999999995</v>
      </c>
      <c r="N306">
        <f t="shared" si="23"/>
        <v>7</v>
      </c>
      <c r="O306">
        <v>10</v>
      </c>
      <c r="P306" t="str">
        <f t="shared" si="24"/>
        <v>Yes</v>
      </c>
      <c r="Q306">
        <f>IF(Booking_Data[[#This Row],[Discounted Booking]]="Yes",1,0)</f>
        <v>1</v>
      </c>
      <c r="R306" t="s">
        <v>24</v>
      </c>
      <c r="S306">
        <f>IF(Booking_Data[[#This Row],[Cancellation Status]]="yes",1,0)</f>
        <v>0</v>
      </c>
    </row>
    <row r="307" spans="1:19" x14ac:dyDescent="0.35">
      <c r="A307" t="s">
        <v>637</v>
      </c>
      <c r="B307" t="s">
        <v>638</v>
      </c>
      <c r="C307" s="1">
        <v>45351</v>
      </c>
      <c r="D307" s="1">
        <v>45371</v>
      </c>
      <c r="E307" s="1">
        <v>45376</v>
      </c>
      <c r="F307" s="2">
        <f t="shared" si="20"/>
        <v>5</v>
      </c>
      <c r="G307" s="2" t="str">
        <f t="shared" si="21"/>
        <v>Thursday</v>
      </c>
      <c r="H307" s="2" t="str">
        <f t="shared" si="22"/>
        <v>February</v>
      </c>
      <c r="I307" t="s">
        <v>30</v>
      </c>
      <c r="J307" t="s">
        <v>31</v>
      </c>
      <c r="K307" t="s">
        <v>58</v>
      </c>
      <c r="L307" t="s">
        <v>17</v>
      </c>
      <c r="M307">
        <v>921.74</v>
      </c>
      <c r="N307">
        <f t="shared" si="23"/>
        <v>5</v>
      </c>
      <c r="O307">
        <v>5</v>
      </c>
      <c r="P307" t="str">
        <f t="shared" si="24"/>
        <v>Yes</v>
      </c>
      <c r="Q307">
        <f>IF(Booking_Data[[#This Row],[Discounted Booking]]="Yes",1,0)</f>
        <v>1</v>
      </c>
      <c r="R307" t="s">
        <v>18</v>
      </c>
      <c r="S307">
        <f>IF(Booking_Data[[#This Row],[Cancellation Status]]="yes",1,0)</f>
        <v>1</v>
      </c>
    </row>
    <row r="308" spans="1:19" x14ac:dyDescent="0.35">
      <c r="A308" t="s">
        <v>639</v>
      </c>
      <c r="B308" t="s">
        <v>640</v>
      </c>
      <c r="C308" s="1">
        <v>45351</v>
      </c>
      <c r="D308" s="1">
        <v>45377</v>
      </c>
      <c r="E308" s="1">
        <v>45380</v>
      </c>
      <c r="F308" s="2">
        <f t="shared" si="20"/>
        <v>5</v>
      </c>
      <c r="G308" s="2" t="str">
        <f t="shared" si="21"/>
        <v>Thursday</v>
      </c>
      <c r="H308" s="2" t="str">
        <f t="shared" si="22"/>
        <v>February</v>
      </c>
      <c r="I308" t="s">
        <v>14</v>
      </c>
      <c r="J308" t="s">
        <v>15</v>
      </c>
      <c r="K308" t="s">
        <v>32</v>
      </c>
      <c r="L308" t="s">
        <v>23</v>
      </c>
      <c r="M308">
        <v>303.87</v>
      </c>
      <c r="N308">
        <f t="shared" si="23"/>
        <v>3</v>
      </c>
      <c r="O308">
        <v>5</v>
      </c>
      <c r="P308" t="str">
        <f t="shared" si="24"/>
        <v>Yes</v>
      </c>
      <c r="Q308">
        <f>IF(Booking_Data[[#This Row],[Discounted Booking]]="Yes",1,0)</f>
        <v>1</v>
      </c>
      <c r="R308" t="s">
        <v>18</v>
      </c>
      <c r="S308">
        <f>IF(Booking_Data[[#This Row],[Cancellation Status]]="yes",1,0)</f>
        <v>1</v>
      </c>
    </row>
    <row r="309" spans="1:19" x14ac:dyDescent="0.35">
      <c r="A309" t="s">
        <v>641</v>
      </c>
      <c r="B309" t="s">
        <v>642</v>
      </c>
      <c r="C309" s="1">
        <v>45352</v>
      </c>
      <c r="D309" s="1">
        <v>45359</v>
      </c>
      <c r="E309" s="1">
        <v>45367</v>
      </c>
      <c r="F309" s="2">
        <f t="shared" si="20"/>
        <v>1</v>
      </c>
      <c r="G309" s="2" t="str">
        <f t="shared" si="21"/>
        <v>Friday</v>
      </c>
      <c r="H309" s="2" t="str">
        <f t="shared" si="22"/>
        <v>March</v>
      </c>
      <c r="I309" t="s">
        <v>14</v>
      </c>
      <c r="J309" t="s">
        <v>31</v>
      </c>
      <c r="K309" t="s">
        <v>32</v>
      </c>
      <c r="L309" t="s">
        <v>23</v>
      </c>
      <c r="M309">
        <v>790.42</v>
      </c>
      <c r="N309">
        <f t="shared" si="23"/>
        <v>8</v>
      </c>
      <c r="O309">
        <v>15</v>
      </c>
      <c r="P309" t="str">
        <f t="shared" si="24"/>
        <v>Yes</v>
      </c>
      <c r="Q309">
        <f>IF(Booking_Data[[#This Row],[Discounted Booking]]="Yes",1,0)</f>
        <v>1</v>
      </c>
      <c r="R309" t="s">
        <v>18</v>
      </c>
      <c r="S309">
        <f>IF(Booking_Data[[#This Row],[Cancellation Status]]="yes",1,0)</f>
        <v>1</v>
      </c>
    </row>
    <row r="310" spans="1:19" x14ac:dyDescent="0.35">
      <c r="A310" t="s">
        <v>643</v>
      </c>
      <c r="B310" t="s">
        <v>644</v>
      </c>
      <c r="C310" s="1">
        <v>45352</v>
      </c>
      <c r="D310" s="1">
        <v>45377</v>
      </c>
      <c r="E310" s="1">
        <v>45379</v>
      </c>
      <c r="F310" s="2">
        <f t="shared" si="20"/>
        <v>1</v>
      </c>
      <c r="G310" s="2" t="str">
        <f t="shared" si="21"/>
        <v>Friday</v>
      </c>
      <c r="H310" s="2" t="str">
        <f t="shared" si="22"/>
        <v>March</v>
      </c>
      <c r="I310" t="s">
        <v>35</v>
      </c>
      <c r="J310" t="s">
        <v>31</v>
      </c>
      <c r="K310" t="s">
        <v>42</v>
      </c>
      <c r="L310" t="s">
        <v>37</v>
      </c>
      <c r="M310">
        <v>719.93</v>
      </c>
      <c r="N310">
        <f t="shared" si="23"/>
        <v>2</v>
      </c>
      <c r="O310">
        <v>10</v>
      </c>
      <c r="P310" t="str">
        <f t="shared" si="24"/>
        <v>Yes</v>
      </c>
      <c r="Q310">
        <f>IF(Booking_Data[[#This Row],[Discounted Booking]]="Yes",1,0)</f>
        <v>1</v>
      </c>
      <c r="R310" t="s">
        <v>24</v>
      </c>
      <c r="S310">
        <f>IF(Booking_Data[[#This Row],[Cancellation Status]]="yes",1,0)</f>
        <v>0</v>
      </c>
    </row>
    <row r="311" spans="1:19" x14ac:dyDescent="0.35">
      <c r="A311" t="s">
        <v>645</v>
      </c>
      <c r="B311" t="s">
        <v>646</v>
      </c>
      <c r="C311" s="1">
        <v>45352</v>
      </c>
      <c r="D311" s="1">
        <v>45374</v>
      </c>
      <c r="E311" s="1">
        <v>45376</v>
      </c>
      <c r="F311" s="2">
        <f t="shared" si="20"/>
        <v>1</v>
      </c>
      <c r="G311" s="2" t="str">
        <f t="shared" si="21"/>
        <v>Friday</v>
      </c>
      <c r="H311" s="2" t="str">
        <f t="shared" si="22"/>
        <v>March</v>
      </c>
      <c r="I311" t="s">
        <v>30</v>
      </c>
      <c r="J311" t="s">
        <v>31</v>
      </c>
      <c r="K311" t="s">
        <v>16</v>
      </c>
      <c r="L311" t="s">
        <v>23</v>
      </c>
      <c r="M311">
        <v>221.24</v>
      </c>
      <c r="N311">
        <f t="shared" si="23"/>
        <v>2</v>
      </c>
      <c r="O311">
        <v>0</v>
      </c>
      <c r="P311" t="str">
        <f t="shared" si="24"/>
        <v>No</v>
      </c>
      <c r="Q311">
        <f>IF(Booking_Data[[#This Row],[Discounted Booking]]="Yes",1,0)</f>
        <v>0</v>
      </c>
      <c r="R311" t="s">
        <v>18</v>
      </c>
      <c r="S311">
        <f>IF(Booking_Data[[#This Row],[Cancellation Status]]="yes",1,0)</f>
        <v>1</v>
      </c>
    </row>
    <row r="312" spans="1:19" x14ac:dyDescent="0.35">
      <c r="A312" t="s">
        <v>647</v>
      </c>
      <c r="B312" t="s">
        <v>228</v>
      </c>
      <c r="C312" s="1">
        <v>45352</v>
      </c>
      <c r="D312" s="1">
        <v>45373</v>
      </c>
      <c r="E312" s="1">
        <v>45379</v>
      </c>
      <c r="F312" s="2">
        <f t="shared" si="20"/>
        <v>1</v>
      </c>
      <c r="G312" s="2" t="str">
        <f t="shared" si="21"/>
        <v>Friday</v>
      </c>
      <c r="H312" s="2" t="str">
        <f t="shared" si="22"/>
        <v>March</v>
      </c>
      <c r="I312" t="s">
        <v>14</v>
      </c>
      <c r="J312" t="s">
        <v>31</v>
      </c>
      <c r="K312" t="s">
        <v>32</v>
      </c>
      <c r="L312" t="s">
        <v>27</v>
      </c>
      <c r="M312">
        <v>1054.26</v>
      </c>
      <c r="N312">
        <f t="shared" si="23"/>
        <v>6</v>
      </c>
      <c r="O312">
        <v>10</v>
      </c>
      <c r="P312" t="str">
        <f t="shared" si="24"/>
        <v>Yes</v>
      </c>
      <c r="Q312">
        <f>IF(Booking_Data[[#This Row],[Discounted Booking]]="Yes",1,0)</f>
        <v>1</v>
      </c>
      <c r="R312" t="s">
        <v>18</v>
      </c>
      <c r="S312">
        <f>IF(Booking_Data[[#This Row],[Cancellation Status]]="yes",1,0)</f>
        <v>1</v>
      </c>
    </row>
    <row r="313" spans="1:19" x14ac:dyDescent="0.35">
      <c r="A313" t="s">
        <v>648</v>
      </c>
      <c r="B313" t="s">
        <v>649</v>
      </c>
      <c r="C313" s="1">
        <v>45352</v>
      </c>
      <c r="D313" s="1">
        <v>45377</v>
      </c>
      <c r="E313" s="1">
        <v>45381</v>
      </c>
      <c r="F313" s="2">
        <f t="shared" si="20"/>
        <v>1</v>
      </c>
      <c r="G313" s="2" t="str">
        <f t="shared" si="21"/>
        <v>Friday</v>
      </c>
      <c r="H313" s="2" t="str">
        <f t="shared" si="22"/>
        <v>March</v>
      </c>
      <c r="I313" t="s">
        <v>35</v>
      </c>
      <c r="J313" t="s">
        <v>21</v>
      </c>
      <c r="K313" t="s">
        <v>42</v>
      </c>
      <c r="L313" t="s">
        <v>37</v>
      </c>
      <c r="M313">
        <v>686.66</v>
      </c>
      <c r="N313">
        <f t="shared" si="23"/>
        <v>4</v>
      </c>
      <c r="O313">
        <v>15</v>
      </c>
      <c r="P313" t="str">
        <f t="shared" si="24"/>
        <v>Yes</v>
      </c>
      <c r="Q313">
        <f>IF(Booking_Data[[#This Row],[Discounted Booking]]="Yes",1,0)</f>
        <v>1</v>
      </c>
      <c r="R313" t="s">
        <v>18</v>
      </c>
      <c r="S313">
        <f>IF(Booking_Data[[#This Row],[Cancellation Status]]="yes",1,0)</f>
        <v>1</v>
      </c>
    </row>
    <row r="314" spans="1:19" x14ac:dyDescent="0.35">
      <c r="A314" t="s">
        <v>650</v>
      </c>
      <c r="B314" t="s">
        <v>649</v>
      </c>
      <c r="C314" s="1">
        <v>45352</v>
      </c>
      <c r="D314" s="1">
        <v>45353</v>
      </c>
      <c r="E314" s="1">
        <v>45355</v>
      </c>
      <c r="F314" s="2">
        <f t="shared" si="20"/>
        <v>1</v>
      </c>
      <c r="G314" s="2" t="str">
        <f t="shared" si="21"/>
        <v>Friday</v>
      </c>
      <c r="H314" s="2" t="str">
        <f t="shared" si="22"/>
        <v>March</v>
      </c>
      <c r="I314" t="s">
        <v>35</v>
      </c>
      <c r="J314" t="s">
        <v>36</v>
      </c>
      <c r="K314" t="s">
        <v>32</v>
      </c>
      <c r="L314" t="s">
        <v>27</v>
      </c>
      <c r="M314">
        <v>1129.97</v>
      </c>
      <c r="N314">
        <f t="shared" si="23"/>
        <v>2</v>
      </c>
      <c r="O314">
        <v>10</v>
      </c>
      <c r="P314" t="str">
        <f t="shared" si="24"/>
        <v>Yes</v>
      </c>
      <c r="Q314">
        <f>IF(Booking_Data[[#This Row],[Discounted Booking]]="Yes",1,0)</f>
        <v>1</v>
      </c>
      <c r="R314" t="s">
        <v>18</v>
      </c>
      <c r="S314">
        <f>IF(Booking_Data[[#This Row],[Cancellation Status]]="yes",1,0)</f>
        <v>1</v>
      </c>
    </row>
    <row r="315" spans="1:19" x14ac:dyDescent="0.35">
      <c r="A315" t="s">
        <v>651</v>
      </c>
      <c r="B315" t="s">
        <v>652</v>
      </c>
      <c r="C315" s="1">
        <v>45352</v>
      </c>
      <c r="D315" s="1">
        <v>45361</v>
      </c>
      <c r="E315" s="1">
        <v>45367</v>
      </c>
      <c r="F315" s="2">
        <f t="shared" si="20"/>
        <v>1</v>
      </c>
      <c r="G315" s="2" t="str">
        <f t="shared" si="21"/>
        <v>Friday</v>
      </c>
      <c r="H315" s="2" t="str">
        <f t="shared" si="22"/>
        <v>March</v>
      </c>
      <c r="I315" t="s">
        <v>14</v>
      </c>
      <c r="J315" t="s">
        <v>15</v>
      </c>
      <c r="K315" t="s">
        <v>49</v>
      </c>
      <c r="L315" t="s">
        <v>27</v>
      </c>
      <c r="M315">
        <v>613.9</v>
      </c>
      <c r="N315">
        <f t="shared" si="23"/>
        <v>6</v>
      </c>
      <c r="O315">
        <v>0</v>
      </c>
      <c r="P315" t="str">
        <f t="shared" si="24"/>
        <v>No</v>
      </c>
      <c r="Q315">
        <f>IF(Booking_Data[[#This Row],[Discounted Booking]]="Yes",1,0)</f>
        <v>0</v>
      </c>
      <c r="R315" t="s">
        <v>18</v>
      </c>
      <c r="S315">
        <f>IF(Booking_Data[[#This Row],[Cancellation Status]]="yes",1,0)</f>
        <v>1</v>
      </c>
    </row>
    <row r="316" spans="1:19" x14ac:dyDescent="0.35">
      <c r="A316" t="s">
        <v>653</v>
      </c>
      <c r="B316" t="s">
        <v>654</v>
      </c>
      <c r="C316" s="1">
        <v>45352</v>
      </c>
      <c r="D316" s="1">
        <v>45356</v>
      </c>
      <c r="E316" s="1">
        <v>45365</v>
      </c>
      <c r="F316" s="2">
        <f t="shared" si="20"/>
        <v>1</v>
      </c>
      <c r="G316" s="2" t="str">
        <f t="shared" si="21"/>
        <v>Friday</v>
      </c>
      <c r="H316" s="2" t="str">
        <f t="shared" si="22"/>
        <v>March</v>
      </c>
      <c r="I316" t="s">
        <v>35</v>
      </c>
      <c r="J316" t="s">
        <v>31</v>
      </c>
      <c r="K316" t="s">
        <v>42</v>
      </c>
      <c r="L316" t="s">
        <v>37</v>
      </c>
      <c r="M316">
        <v>774.18</v>
      </c>
      <c r="N316">
        <f t="shared" si="23"/>
        <v>9</v>
      </c>
      <c r="O316">
        <v>0</v>
      </c>
      <c r="P316" t="str">
        <f t="shared" si="24"/>
        <v>No</v>
      </c>
      <c r="Q316">
        <f>IF(Booking_Data[[#This Row],[Discounted Booking]]="Yes",1,0)</f>
        <v>0</v>
      </c>
      <c r="R316" t="s">
        <v>18</v>
      </c>
      <c r="S316">
        <f>IF(Booking_Data[[#This Row],[Cancellation Status]]="yes",1,0)</f>
        <v>1</v>
      </c>
    </row>
    <row r="317" spans="1:19" x14ac:dyDescent="0.35">
      <c r="A317" t="s">
        <v>655</v>
      </c>
      <c r="B317" t="s">
        <v>656</v>
      </c>
      <c r="C317" s="1">
        <v>45352</v>
      </c>
      <c r="D317" s="1">
        <v>45380</v>
      </c>
      <c r="E317" s="1">
        <v>45389</v>
      </c>
      <c r="F317" s="2">
        <f t="shared" si="20"/>
        <v>1</v>
      </c>
      <c r="G317" s="2" t="str">
        <f t="shared" si="21"/>
        <v>Friday</v>
      </c>
      <c r="H317" s="2" t="str">
        <f t="shared" si="22"/>
        <v>March</v>
      </c>
      <c r="I317" t="s">
        <v>30</v>
      </c>
      <c r="J317" t="s">
        <v>15</v>
      </c>
      <c r="K317" t="s">
        <v>49</v>
      </c>
      <c r="L317" t="s">
        <v>27</v>
      </c>
      <c r="M317">
        <v>981.31</v>
      </c>
      <c r="N317">
        <f t="shared" si="23"/>
        <v>9</v>
      </c>
      <c r="O317">
        <v>15</v>
      </c>
      <c r="P317" t="str">
        <f t="shared" si="24"/>
        <v>Yes</v>
      </c>
      <c r="Q317">
        <f>IF(Booking_Data[[#This Row],[Discounted Booking]]="Yes",1,0)</f>
        <v>1</v>
      </c>
      <c r="R317" t="s">
        <v>24</v>
      </c>
      <c r="S317">
        <f>IF(Booking_Data[[#This Row],[Cancellation Status]]="yes",1,0)</f>
        <v>0</v>
      </c>
    </row>
    <row r="318" spans="1:19" x14ac:dyDescent="0.35">
      <c r="A318" t="s">
        <v>657</v>
      </c>
      <c r="B318" t="s">
        <v>658</v>
      </c>
      <c r="C318" s="1">
        <v>45352</v>
      </c>
      <c r="D318" s="1">
        <v>45379</v>
      </c>
      <c r="E318" s="1">
        <v>45389</v>
      </c>
      <c r="F318" s="2">
        <f t="shared" si="20"/>
        <v>1</v>
      </c>
      <c r="G318" s="2" t="str">
        <f t="shared" si="21"/>
        <v>Friday</v>
      </c>
      <c r="H318" s="2" t="str">
        <f t="shared" si="22"/>
        <v>March</v>
      </c>
      <c r="I318" t="s">
        <v>35</v>
      </c>
      <c r="J318" t="s">
        <v>21</v>
      </c>
      <c r="K318" t="s">
        <v>32</v>
      </c>
      <c r="L318" t="s">
        <v>27</v>
      </c>
      <c r="M318">
        <v>1432.71</v>
      </c>
      <c r="N318">
        <f t="shared" si="23"/>
        <v>10</v>
      </c>
      <c r="O318">
        <v>15</v>
      </c>
      <c r="P318" t="str">
        <f t="shared" si="24"/>
        <v>Yes</v>
      </c>
      <c r="Q318">
        <f>IF(Booking_Data[[#This Row],[Discounted Booking]]="Yes",1,0)</f>
        <v>1</v>
      </c>
      <c r="R318" t="s">
        <v>18</v>
      </c>
      <c r="S318">
        <f>IF(Booking_Data[[#This Row],[Cancellation Status]]="yes",1,0)</f>
        <v>1</v>
      </c>
    </row>
    <row r="319" spans="1:19" x14ac:dyDescent="0.35">
      <c r="A319" t="s">
        <v>659</v>
      </c>
      <c r="B319" t="s">
        <v>660</v>
      </c>
      <c r="C319" s="1">
        <v>45353</v>
      </c>
      <c r="D319" s="1">
        <v>45355</v>
      </c>
      <c r="E319" s="1">
        <v>45360</v>
      </c>
      <c r="F319" s="2">
        <f t="shared" si="20"/>
        <v>1</v>
      </c>
      <c r="G319" s="2" t="str">
        <f t="shared" si="21"/>
        <v>Saturday</v>
      </c>
      <c r="H319" s="2" t="str">
        <f t="shared" si="22"/>
        <v>March</v>
      </c>
      <c r="I319" t="s">
        <v>14</v>
      </c>
      <c r="J319" t="s">
        <v>15</v>
      </c>
      <c r="K319" t="s">
        <v>58</v>
      </c>
      <c r="L319" t="s">
        <v>23</v>
      </c>
      <c r="M319">
        <v>447.67</v>
      </c>
      <c r="N319">
        <f t="shared" si="23"/>
        <v>5</v>
      </c>
      <c r="O319">
        <v>25</v>
      </c>
      <c r="P319" t="str">
        <f t="shared" si="24"/>
        <v>Yes</v>
      </c>
      <c r="Q319">
        <f>IF(Booking_Data[[#This Row],[Discounted Booking]]="Yes",1,0)</f>
        <v>1</v>
      </c>
      <c r="R319" t="s">
        <v>18</v>
      </c>
      <c r="S319">
        <f>IF(Booking_Data[[#This Row],[Cancellation Status]]="yes",1,0)</f>
        <v>1</v>
      </c>
    </row>
    <row r="320" spans="1:19" x14ac:dyDescent="0.35">
      <c r="A320" t="s">
        <v>661</v>
      </c>
      <c r="B320" t="s">
        <v>662</v>
      </c>
      <c r="C320" s="1">
        <v>45353</v>
      </c>
      <c r="D320" s="1">
        <v>45374</v>
      </c>
      <c r="E320" s="1">
        <v>45378</v>
      </c>
      <c r="F320" s="2">
        <f t="shared" si="20"/>
        <v>1</v>
      </c>
      <c r="G320" s="2" t="str">
        <f t="shared" si="21"/>
        <v>Saturday</v>
      </c>
      <c r="H320" s="2" t="str">
        <f t="shared" si="22"/>
        <v>March</v>
      </c>
      <c r="I320" t="s">
        <v>14</v>
      </c>
      <c r="J320" t="s">
        <v>36</v>
      </c>
      <c r="K320" t="s">
        <v>58</v>
      </c>
      <c r="L320" t="s">
        <v>27</v>
      </c>
      <c r="M320">
        <v>793.39</v>
      </c>
      <c r="N320">
        <f t="shared" si="23"/>
        <v>4</v>
      </c>
      <c r="O320">
        <v>20</v>
      </c>
      <c r="P320" t="str">
        <f t="shared" si="24"/>
        <v>Yes</v>
      </c>
      <c r="Q320">
        <f>IF(Booking_Data[[#This Row],[Discounted Booking]]="Yes",1,0)</f>
        <v>1</v>
      </c>
      <c r="R320" t="s">
        <v>24</v>
      </c>
      <c r="S320">
        <f>IF(Booking_Data[[#This Row],[Cancellation Status]]="yes",1,0)</f>
        <v>0</v>
      </c>
    </row>
    <row r="321" spans="1:19" x14ac:dyDescent="0.35">
      <c r="A321" t="s">
        <v>663</v>
      </c>
      <c r="B321" t="s">
        <v>664</v>
      </c>
      <c r="C321" s="1">
        <v>45353</v>
      </c>
      <c r="D321" s="1">
        <v>45372</v>
      </c>
      <c r="E321" s="1">
        <v>45376</v>
      </c>
      <c r="F321" s="2">
        <f t="shared" si="20"/>
        <v>1</v>
      </c>
      <c r="G321" s="2" t="str">
        <f t="shared" si="21"/>
        <v>Saturday</v>
      </c>
      <c r="H321" s="2" t="str">
        <f t="shared" si="22"/>
        <v>March</v>
      </c>
      <c r="I321" t="s">
        <v>35</v>
      </c>
      <c r="J321" t="s">
        <v>21</v>
      </c>
      <c r="K321" t="s">
        <v>42</v>
      </c>
      <c r="L321" t="s">
        <v>23</v>
      </c>
      <c r="M321">
        <v>1188.54</v>
      </c>
      <c r="N321">
        <f t="shared" si="23"/>
        <v>4</v>
      </c>
      <c r="O321">
        <v>15</v>
      </c>
      <c r="P321" t="str">
        <f t="shared" si="24"/>
        <v>Yes</v>
      </c>
      <c r="Q321">
        <f>IF(Booking_Data[[#This Row],[Discounted Booking]]="Yes",1,0)</f>
        <v>1</v>
      </c>
      <c r="R321" t="s">
        <v>18</v>
      </c>
      <c r="S321">
        <f>IF(Booking_Data[[#This Row],[Cancellation Status]]="yes",1,0)</f>
        <v>1</v>
      </c>
    </row>
    <row r="322" spans="1:19" x14ac:dyDescent="0.35">
      <c r="A322" t="s">
        <v>665</v>
      </c>
      <c r="B322" t="s">
        <v>666</v>
      </c>
      <c r="C322" s="1">
        <v>45353</v>
      </c>
      <c r="D322" s="1">
        <v>45364</v>
      </c>
      <c r="E322" s="1">
        <v>45368</v>
      </c>
      <c r="F322" s="2">
        <f t="shared" ref="F322:F385" si="25">WEEKNUM(C322) - WEEKNUM(DATE(YEAR(C322), MONTH(C322), 1)) + 1</f>
        <v>1</v>
      </c>
      <c r="G322" s="2" t="str">
        <f t="shared" ref="G322:G385" si="26">TEXT(C322,"dddd")</f>
        <v>Saturday</v>
      </c>
      <c r="H322" s="2" t="str">
        <f t="shared" ref="H322:H385" si="27">TEXT(C322, "mmmm")</f>
        <v>March</v>
      </c>
      <c r="I322" t="s">
        <v>35</v>
      </c>
      <c r="J322" t="s">
        <v>31</v>
      </c>
      <c r="K322" t="s">
        <v>49</v>
      </c>
      <c r="L322" t="s">
        <v>37</v>
      </c>
      <c r="M322">
        <v>855.69</v>
      </c>
      <c r="N322">
        <f t="shared" ref="N322:N385" si="28">_xlfn.DAYS(E322,D322)</f>
        <v>4</v>
      </c>
      <c r="O322">
        <v>10</v>
      </c>
      <c r="P322" t="str">
        <f t="shared" si="24"/>
        <v>Yes</v>
      </c>
      <c r="Q322">
        <f>IF(Booking_Data[[#This Row],[Discounted Booking]]="Yes",1,0)</f>
        <v>1</v>
      </c>
      <c r="R322" t="s">
        <v>24</v>
      </c>
      <c r="S322">
        <f>IF(Booking_Data[[#This Row],[Cancellation Status]]="yes",1,0)</f>
        <v>0</v>
      </c>
    </row>
    <row r="323" spans="1:19" x14ac:dyDescent="0.35">
      <c r="A323" t="s">
        <v>667</v>
      </c>
      <c r="B323" t="s">
        <v>668</v>
      </c>
      <c r="C323" s="1">
        <v>45353</v>
      </c>
      <c r="D323" s="1">
        <v>45380</v>
      </c>
      <c r="E323" s="1">
        <v>45389</v>
      </c>
      <c r="F323" s="2">
        <f t="shared" si="25"/>
        <v>1</v>
      </c>
      <c r="G323" s="2" t="str">
        <f t="shared" si="26"/>
        <v>Saturday</v>
      </c>
      <c r="H323" s="2" t="str">
        <f t="shared" si="27"/>
        <v>March</v>
      </c>
      <c r="I323" t="s">
        <v>30</v>
      </c>
      <c r="J323" t="s">
        <v>31</v>
      </c>
      <c r="K323" t="s">
        <v>49</v>
      </c>
      <c r="L323" t="s">
        <v>27</v>
      </c>
      <c r="M323">
        <v>1214.1600000000001</v>
      </c>
      <c r="N323">
        <f t="shared" si="28"/>
        <v>9</v>
      </c>
      <c r="O323">
        <v>20</v>
      </c>
      <c r="P323" t="str">
        <f t="shared" ref="P323:P386" si="29">IF(O323&gt;0, "Yes","No")</f>
        <v>Yes</v>
      </c>
      <c r="Q323">
        <f>IF(Booking_Data[[#This Row],[Discounted Booking]]="Yes",1,0)</f>
        <v>1</v>
      </c>
      <c r="R323" t="s">
        <v>18</v>
      </c>
      <c r="S323">
        <f>IF(Booking_Data[[#This Row],[Cancellation Status]]="yes",1,0)</f>
        <v>1</v>
      </c>
    </row>
    <row r="324" spans="1:19" x14ac:dyDescent="0.35">
      <c r="A324" t="s">
        <v>669</v>
      </c>
      <c r="B324" t="s">
        <v>670</v>
      </c>
      <c r="C324" s="1">
        <v>45353</v>
      </c>
      <c r="D324" s="1">
        <v>45380</v>
      </c>
      <c r="E324" s="1">
        <v>45386</v>
      </c>
      <c r="F324" s="2">
        <f t="shared" si="25"/>
        <v>1</v>
      </c>
      <c r="G324" s="2" t="str">
        <f t="shared" si="26"/>
        <v>Saturday</v>
      </c>
      <c r="H324" s="2" t="str">
        <f t="shared" si="27"/>
        <v>March</v>
      </c>
      <c r="I324" t="s">
        <v>14</v>
      </c>
      <c r="J324" t="s">
        <v>21</v>
      </c>
      <c r="K324" t="s">
        <v>58</v>
      </c>
      <c r="L324" t="s">
        <v>27</v>
      </c>
      <c r="M324">
        <v>1093.97</v>
      </c>
      <c r="N324">
        <f t="shared" si="28"/>
        <v>6</v>
      </c>
      <c r="O324">
        <v>25</v>
      </c>
      <c r="P324" t="str">
        <f t="shared" si="29"/>
        <v>Yes</v>
      </c>
      <c r="Q324">
        <f>IF(Booking_Data[[#This Row],[Discounted Booking]]="Yes",1,0)</f>
        <v>1</v>
      </c>
      <c r="R324" t="s">
        <v>18</v>
      </c>
      <c r="S324">
        <f>IF(Booking_Data[[#This Row],[Cancellation Status]]="yes",1,0)</f>
        <v>1</v>
      </c>
    </row>
    <row r="325" spans="1:19" x14ac:dyDescent="0.35">
      <c r="A325" t="s">
        <v>671</v>
      </c>
      <c r="B325" t="s">
        <v>672</v>
      </c>
      <c r="C325" s="1">
        <v>45354</v>
      </c>
      <c r="D325" s="1">
        <v>45367</v>
      </c>
      <c r="E325" s="1">
        <v>45370</v>
      </c>
      <c r="F325" s="2">
        <f t="shared" si="25"/>
        <v>2</v>
      </c>
      <c r="G325" s="2" t="str">
        <f t="shared" si="26"/>
        <v>Sunday</v>
      </c>
      <c r="H325" s="2" t="str">
        <f t="shared" si="27"/>
        <v>March</v>
      </c>
      <c r="I325" t="s">
        <v>30</v>
      </c>
      <c r="J325" t="s">
        <v>31</v>
      </c>
      <c r="K325" t="s">
        <v>22</v>
      </c>
      <c r="L325" t="s">
        <v>23</v>
      </c>
      <c r="M325">
        <v>1092.81</v>
      </c>
      <c r="N325">
        <f t="shared" si="28"/>
        <v>3</v>
      </c>
      <c r="O325">
        <v>25</v>
      </c>
      <c r="P325" t="str">
        <f t="shared" si="29"/>
        <v>Yes</v>
      </c>
      <c r="Q325">
        <f>IF(Booking_Data[[#This Row],[Discounted Booking]]="Yes",1,0)</f>
        <v>1</v>
      </c>
      <c r="R325" t="s">
        <v>18</v>
      </c>
      <c r="S325">
        <f>IF(Booking_Data[[#This Row],[Cancellation Status]]="yes",1,0)</f>
        <v>1</v>
      </c>
    </row>
    <row r="326" spans="1:19" x14ac:dyDescent="0.35">
      <c r="A326" t="s">
        <v>673</v>
      </c>
      <c r="B326" t="s">
        <v>674</v>
      </c>
      <c r="C326" s="1">
        <v>45354</v>
      </c>
      <c r="D326" s="1">
        <v>45358</v>
      </c>
      <c r="E326" s="1">
        <v>45361</v>
      </c>
      <c r="F326" s="2">
        <f t="shared" si="25"/>
        <v>2</v>
      </c>
      <c r="G326" s="2" t="str">
        <f t="shared" si="26"/>
        <v>Sunday</v>
      </c>
      <c r="H326" s="2" t="str">
        <f t="shared" si="27"/>
        <v>March</v>
      </c>
      <c r="I326" t="s">
        <v>30</v>
      </c>
      <c r="J326" t="s">
        <v>36</v>
      </c>
      <c r="K326" t="s">
        <v>58</v>
      </c>
      <c r="L326" t="s">
        <v>17</v>
      </c>
      <c r="M326">
        <v>999.97</v>
      </c>
      <c r="N326">
        <f t="shared" si="28"/>
        <v>3</v>
      </c>
      <c r="O326">
        <v>0</v>
      </c>
      <c r="P326" t="str">
        <f t="shared" si="29"/>
        <v>No</v>
      </c>
      <c r="Q326">
        <f>IF(Booking_Data[[#This Row],[Discounted Booking]]="Yes",1,0)</f>
        <v>0</v>
      </c>
      <c r="R326" t="s">
        <v>18</v>
      </c>
      <c r="S326">
        <f>IF(Booking_Data[[#This Row],[Cancellation Status]]="yes",1,0)</f>
        <v>1</v>
      </c>
    </row>
    <row r="327" spans="1:19" x14ac:dyDescent="0.35">
      <c r="A327" t="s">
        <v>675</v>
      </c>
      <c r="B327" t="s">
        <v>676</v>
      </c>
      <c r="C327" s="1">
        <v>45354</v>
      </c>
      <c r="D327" s="1">
        <v>45355</v>
      </c>
      <c r="E327" s="1">
        <v>45357</v>
      </c>
      <c r="F327" s="2">
        <f t="shared" si="25"/>
        <v>2</v>
      </c>
      <c r="G327" s="2" t="str">
        <f t="shared" si="26"/>
        <v>Sunday</v>
      </c>
      <c r="H327" s="2" t="str">
        <f t="shared" si="27"/>
        <v>March</v>
      </c>
      <c r="I327" t="s">
        <v>30</v>
      </c>
      <c r="J327" t="s">
        <v>36</v>
      </c>
      <c r="K327" t="s">
        <v>16</v>
      </c>
      <c r="L327" t="s">
        <v>23</v>
      </c>
      <c r="M327">
        <v>721.87</v>
      </c>
      <c r="N327">
        <f t="shared" si="28"/>
        <v>2</v>
      </c>
      <c r="O327">
        <v>15</v>
      </c>
      <c r="P327" t="str">
        <f t="shared" si="29"/>
        <v>Yes</v>
      </c>
      <c r="Q327">
        <f>IF(Booking_Data[[#This Row],[Discounted Booking]]="Yes",1,0)</f>
        <v>1</v>
      </c>
      <c r="R327" t="s">
        <v>18</v>
      </c>
      <c r="S327">
        <f>IF(Booking_Data[[#This Row],[Cancellation Status]]="yes",1,0)</f>
        <v>1</v>
      </c>
    </row>
    <row r="328" spans="1:19" x14ac:dyDescent="0.35">
      <c r="A328" t="s">
        <v>677</v>
      </c>
      <c r="B328" t="s">
        <v>678</v>
      </c>
      <c r="C328" s="1">
        <v>45354</v>
      </c>
      <c r="D328" s="1">
        <v>45367</v>
      </c>
      <c r="E328" s="1">
        <v>45373</v>
      </c>
      <c r="F328" s="2">
        <f t="shared" si="25"/>
        <v>2</v>
      </c>
      <c r="G328" s="2" t="str">
        <f t="shared" si="26"/>
        <v>Sunday</v>
      </c>
      <c r="H328" s="2" t="str">
        <f t="shared" si="27"/>
        <v>March</v>
      </c>
      <c r="I328" t="s">
        <v>14</v>
      </c>
      <c r="J328" t="s">
        <v>31</v>
      </c>
      <c r="K328" t="s">
        <v>42</v>
      </c>
      <c r="L328" t="s">
        <v>23</v>
      </c>
      <c r="M328">
        <v>123.37</v>
      </c>
      <c r="N328">
        <f t="shared" si="28"/>
        <v>6</v>
      </c>
      <c r="O328">
        <v>5</v>
      </c>
      <c r="P328" t="str">
        <f t="shared" si="29"/>
        <v>Yes</v>
      </c>
      <c r="Q328">
        <f>IF(Booking_Data[[#This Row],[Discounted Booking]]="Yes",1,0)</f>
        <v>1</v>
      </c>
      <c r="R328" t="s">
        <v>24</v>
      </c>
      <c r="S328">
        <f>IF(Booking_Data[[#This Row],[Cancellation Status]]="yes",1,0)</f>
        <v>0</v>
      </c>
    </row>
    <row r="329" spans="1:19" x14ac:dyDescent="0.35">
      <c r="A329" t="s">
        <v>679</v>
      </c>
      <c r="B329" t="s">
        <v>680</v>
      </c>
      <c r="C329" s="1">
        <v>45354</v>
      </c>
      <c r="D329" s="1">
        <v>45361</v>
      </c>
      <c r="E329" s="1">
        <v>45371</v>
      </c>
      <c r="F329" s="2">
        <f t="shared" si="25"/>
        <v>2</v>
      </c>
      <c r="G329" s="2" t="str">
        <f t="shared" si="26"/>
        <v>Sunday</v>
      </c>
      <c r="H329" s="2" t="str">
        <f t="shared" si="27"/>
        <v>March</v>
      </c>
      <c r="I329" t="s">
        <v>30</v>
      </c>
      <c r="J329" t="s">
        <v>15</v>
      </c>
      <c r="K329" t="s">
        <v>16</v>
      </c>
      <c r="L329" t="s">
        <v>27</v>
      </c>
      <c r="M329">
        <v>176.99</v>
      </c>
      <c r="N329">
        <f t="shared" si="28"/>
        <v>10</v>
      </c>
      <c r="O329">
        <v>25</v>
      </c>
      <c r="P329" t="str">
        <f t="shared" si="29"/>
        <v>Yes</v>
      </c>
      <c r="Q329">
        <f>IF(Booking_Data[[#This Row],[Discounted Booking]]="Yes",1,0)</f>
        <v>1</v>
      </c>
      <c r="R329" t="s">
        <v>18</v>
      </c>
      <c r="S329">
        <f>IF(Booking_Data[[#This Row],[Cancellation Status]]="yes",1,0)</f>
        <v>1</v>
      </c>
    </row>
    <row r="330" spans="1:19" x14ac:dyDescent="0.35">
      <c r="A330" t="s">
        <v>681</v>
      </c>
      <c r="B330" t="s">
        <v>682</v>
      </c>
      <c r="C330" s="1">
        <v>45354</v>
      </c>
      <c r="D330" s="1">
        <v>45381</v>
      </c>
      <c r="E330" s="1">
        <v>45382</v>
      </c>
      <c r="F330" s="2">
        <f t="shared" si="25"/>
        <v>2</v>
      </c>
      <c r="G330" s="2" t="str">
        <f t="shared" si="26"/>
        <v>Sunday</v>
      </c>
      <c r="H330" s="2" t="str">
        <f t="shared" si="27"/>
        <v>March</v>
      </c>
      <c r="I330" t="s">
        <v>35</v>
      </c>
      <c r="J330" t="s">
        <v>15</v>
      </c>
      <c r="K330" t="s">
        <v>16</v>
      </c>
      <c r="L330" t="s">
        <v>27</v>
      </c>
      <c r="M330">
        <v>732.58</v>
      </c>
      <c r="N330">
        <f t="shared" si="28"/>
        <v>1</v>
      </c>
      <c r="O330">
        <v>10</v>
      </c>
      <c r="P330" t="str">
        <f t="shared" si="29"/>
        <v>Yes</v>
      </c>
      <c r="Q330">
        <f>IF(Booking_Data[[#This Row],[Discounted Booking]]="Yes",1,0)</f>
        <v>1</v>
      </c>
      <c r="R330" t="s">
        <v>24</v>
      </c>
      <c r="S330">
        <f>IF(Booking_Data[[#This Row],[Cancellation Status]]="yes",1,0)</f>
        <v>0</v>
      </c>
    </row>
    <row r="331" spans="1:19" x14ac:dyDescent="0.35">
      <c r="A331" t="s">
        <v>683</v>
      </c>
      <c r="B331" t="s">
        <v>684</v>
      </c>
      <c r="C331" s="1">
        <v>45354</v>
      </c>
      <c r="D331" s="1">
        <v>45383</v>
      </c>
      <c r="E331" s="1">
        <v>45389</v>
      </c>
      <c r="F331" s="2">
        <f t="shared" si="25"/>
        <v>2</v>
      </c>
      <c r="G331" s="2" t="str">
        <f t="shared" si="26"/>
        <v>Sunday</v>
      </c>
      <c r="H331" s="2" t="str">
        <f t="shared" si="27"/>
        <v>March</v>
      </c>
      <c r="I331" t="s">
        <v>14</v>
      </c>
      <c r="J331" t="s">
        <v>21</v>
      </c>
      <c r="K331" t="s">
        <v>58</v>
      </c>
      <c r="L331" t="s">
        <v>27</v>
      </c>
      <c r="M331">
        <v>940.86</v>
      </c>
      <c r="N331">
        <f t="shared" si="28"/>
        <v>6</v>
      </c>
      <c r="O331">
        <v>25</v>
      </c>
      <c r="P331" t="str">
        <f t="shared" si="29"/>
        <v>Yes</v>
      </c>
      <c r="Q331">
        <f>IF(Booking_Data[[#This Row],[Discounted Booking]]="Yes",1,0)</f>
        <v>1</v>
      </c>
      <c r="R331" t="s">
        <v>18</v>
      </c>
      <c r="S331">
        <f>IF(Booking_Data[[#This Row],[Cancellation Status]]="yes",1,0)</f>
        <v>1</v>
      </c>
    </row>
    <row r="332" spans="1:19" x14ac:dyDescent="0.35">
      <c r="A332" t="s">
        <v>685</v>
      </c>
      <c r="B332" t="s">
        <v>686</v>
      </c>
      <c r="C332" s="1">
        <v>45354</v>
      </c>
      <c r="D332" s="1">
        <v>45356</v>
      </c>
      <c r="E332" s="1">
        <v>45357</v>
      </c>
      <c r="F332" s="2">
        <f t="shared" si="25"/>
        <v>2</v>
      </c>
      <c r="G332" s="2" t="str">
        <f t="shared" si="26"/>
        <v>Sunday</v>
      </c>
      <c r="H332" s="2" t="str">
        <f t="shared" si="27"/>
        <v>March</v>
      </c>
      <c r="I332" t="s">
        <v>14</v>
      </c>
      <c r="J332" t="s">
        <v>21</v>
      </c>
      <c r="K332" t="s">
        <v>32</v>
      </c>
      <c r="L332" t="s">
        <v>27</v>
      </c>
      <c r="M332">
        <v>1481.15</v>
      </c>
      <c r="N332">
        <f t="shared" si="28"/>
        <v>1</v>
      </c>
      <c r="O332">
        <v>5</v>
      </c>
      <c r="P332" t="str">
        <f t="shared" si="29"/>
        <v>Yes</v>
      </c>
      <c r="Q332">
        <f>IF(Booking_Data[[#This Row],[Discounted Booking]]="Yes",1,0)</f>
        <v>1</v>
      </c>
      <c r="R332" t="s">
        <v>24</v>
      </c>
      <c r="S332">
        <f>IF(Booking_Data[[#This Row],[Cancellation Status]]="yes",1,0)</f>
        <v>0</v>
      </c>
    </row>
    <row r="333" spans="1:19" x14ac:dyDescent="0.35">
      <c r="A333" t="s">
        <v>687</v>
      </c>
      <c r="B333" t="s">
        <v>688</v>
      </c>
      <c r="C333" s="1">
        <v>45355</v>
      </c>
      <c r="D333" s="1">
        <v>45371</v>
      </c>
      <c r="E333" s="1">
        <v>45377</v>
      </c>
      <c r="F333" s="2">
        <f t="shared" si="25"/>
        <v>2</v>
      </c>
      <c r="G333" s="2" t="str">
        <f t="shared" si="26"/>
        <v>Monday</v>
      </c>
      <c r="H333" s="2" t="str">
        <f t="shared" si="27"/>
        <v>March</v>
      </c>
      <c r="I333" t="s">
        <v>14</v>
      </c>
      <c r="J333" t="s">
        <v>21</v>
      </c>
      <c r="K333" t="s">
        <v>49</v>
      </c>
      <c r="L333" t="s">
        <v>17</v>
      </c>
      <c r="M333">
        <v>1391.11</v>
      </c>
      <c r="N333">
        <f t="shared" si="28"/>
        <v>6</v>
      </c>
      <c r="O333">
        <v>15</v>
      </c>
      <c r="P333" t="str">
        <f t="shared" si="29"/>
        <v>Yes</v>
      </c>
      <c r="Q333">
        <f>IF(Booking_Data[[#This Row],[Discounted Booking]]="Yes",1,0)</f>
        <v>1</v>
      </c>
      <c r="R333" t="s">
        <v>24</v>
      </c>
      <c r="S333">
        <f>IF(Booking_Data[[#This Row],[Cancellation Status]]="yes",1,0)</f>
        <v>0</v>
      </c>
    </row>
    <row r="334" spans="1:19" x14ac:dyDescent="0.35">
      <c r="A334" t="s">
        <v>689</v>
      </c>
      <c r="B334" t="s">
        <v>690</v>
      </c>
      <c r="C334" s="1">
        <v>45355</v>
      </c>
      <c r="D334" s="1">
        <v>45383</v>
      </c>
      <c r="E334" s="1">
        <v>45392</v>
      </c>
      <c r="F334" s="2">
        <f t="shared" si="25"/>
        <v>2</v>
      </c>
      <c r="G334" s="2" t="str">
        <f t="shared" si="26"/>
        <v>Monday</v>
      </c>
      <c r="H334" s="2" t="str">
        <f t="shared" si="27"/>
        <v>March</v>
      </c>
      <c r="I334" t="s">
        <v>14</v>
      </c>
      <c r="J334" t="s">
        <v>21</v>
      </c>
      <c r="K334" t="s">
        <v>42</v>
      </c>
      <c r="L334" t="s">
        <v>27</v>
      </c>
      <c r="M334">
        <v>264.33</v>
      </c>
      <c r="N334">
        <f t="shared" si="28"/>
        <v>9</v>
      </c>
      <c r="O334">
        <v>10</v>
      </c>
      <c r="P334" t="str">
        <f t="shared" si="29"/>
        <v>Yes</v>
      </c>
      <c r="Q334">
        <f>IF(Booking_Data[[#This Row],[Discounted Booking]]="Yes",1,0)</f>
        <v>1</v>
      </c>
      <c r="R334" t="s">
        <v>18</v>
      </c>
      <c r="S334">
        <f>IF(Booking_Data[[#This Row],[Cancellation Status]]="yes",1,0)</f>
        <v>1</v>
      </c>
    </row>
    <row r="335" spans="1:19" x14ac:dyDescent="0.35">
      <c r="A335" t="s">
        <v>691</v>
      </c>
      <c r="B335" t="s">
        <v>692</v>
      </c>
      <c r="C335" s="1">
        <v>45355</v>
      </c>
      <c r="D335" s="1">
        <v>45362</v>
      </c>
      <c r="E335" s="1">
        <v>45366</v>
      </c>
      <c r="F335" s="2">
        <f t="shared" si="25"/>
        <v>2</v>
      </c>
      <c r="G335" s="2" t="str">
        <f t="shared" si="26"/>
        <v>Monday</v>
      </c>
      <c r="H335" s="2" t="str">
        <f t="shared" si="27"/>
        <v>March</v>
      </c>
      <c r="I335" t="s">
        <v>14</v>
      </c>
      <c r="J335" t="s">
        <v>31</v>
      </c>
      <c r="K335" t="s">
        <v>32</v>
      </c>
      <c r="L335" t="s">
        <v>17</v>
      </c>
      <c r="M335">
        <v>787.96</v>
      </c>
      <c r="N335">
        <f t="shared" si="28"/>
        <v>4</v>
      </c>
      <c r="O335">
        <v>10</v>
      </c>
      <c r="P335" t="str">
        <f t="shared" si="29"/>
        <v>Yes</v>
      </c>
      <c r="Q335">
        <f>IF(Booking_Data[[#This Row],[Discounted Booking]]="Yes",1,0)</f>
        <v>1</v>
      </c>
      <c r="R335" t="s">
        <v>24</v>
      </c>
      <c r="S335">
        <f>IF(Booking_Data[[#This Row],[Cancellation Status]]="yes",1,0)</f>
        <v>0</v>
      </c>
    </row>
    <row r="336" spans="1:19" x14ac:dyDescent="0.35">
      <c r="A336" t="s">
        <v>693</v>
      </c>
      <c r="B336" t="s">
        <v>694</v>
      </c>
      <c r="C336" s="1">
        <v>45355</v>
      </c>
      <c r="D336" s="1">
        <v>45371</v>
      </c>
      <c r="E336" s="1">
        <v>45381</v>
      </c>
      <c r="F336" s="2">
        <f t="shared" si="25"/>
        <v>2</v>
      </c>
      <c r="G336" s="2" t="str">
        <f t="shared" si="26"/>
        <v>Monday</v>
      </c>
      <c r="H336" s="2" t="str">
        <f t="shared" si="27"/>
        <v>March</v>
      </c>
      <c r="I336" t="s">
        <v>35</v>
      </c>
      <c r="J336" t="s">
        <v>21</v>
      </c>
      <c r="K336" t="s">
        <v>16</v>
      </c>
      <c r="L336" t="s">
        <v>17</v>
      </c>
      <c r="M336">
        <v>696.67</v>
      </c>
      <c r="N336">
        <f t="shared" si="28"/>
        <v>10</v>
      </c>
      <c r="O336">
        <v>10</v>
      </c>
      <c r="P336" t="str">
        <f t="shared" si="29"/>
        <v>Yes</v>
      </c>
      <c r="Q336">
        <f>IF(Booking_Data[[#This Row],[Discounted Booking]]="Yes",1,0)</f>
        <v>1</v>
      </c>
      <c r="R336" t="s">
        <v>24</v>
      </c>
      <c r="S336">
        <f>IF(Booking_Data[[#This Row],[Cancellation Status]]="yes",1,0)</f>
        <v>0</v>
      </c>
    </row>
    <row r="337" spans="1:19" x14ac:dyDescent="0.35">
      <c r="A337" t="s">
        <v>695</v>
      </c>
      <c r="B337" t="s">
        <v>696</v>
      </c>
      <c r="C337" s="1">
        <v>45355</v>
      </c>
      <c r="D337" s="1">
        <v>45365</v>
      </c>
      <c r="E337" s="1">
        <v>45369</v>
      </c>
      <c r="F337" s="2">
        <f t="shared" si="25"/>
        <v>2</v>
      </c>
      <c r="G337" s="2" t="str">
        <f t="shared" si="26"/>
        <v>Monday</v>
      </c>
      <c r="H337" s="2" t="str">
        <f t="shared" si="27"/>
        <v>March</v>
      </c>
      <c r="I337" t="s">
        <v>30</v>
      </c>
      <c r="J337" t="s">
        <v>15</v>
      </c>
      <c r="K337" t="s">
        <v>49</v>
      </c>
      <c r="L337" t="s">
        <v>17</v>
      </c>
      <c r="M337">
        <v>1422.35</v>
      </c>
      <c r="N337">
        <f t="shared" si="28"/>
        <v>4</v>
      </c>
      <c r="O337">
        <v>15</v>
      </c>
      <c r="P337" t="str">
        <f t="shared" si="29"/>
        <v>Yes</v>
      </c>
      <c r="Q337">
        <f>IF(Booking_Data[[#This Row],[Discounted Booking]]="Yes",1,0)</f>
        <v>1</v>
      </c>
      <c r="R337" t="s">
        <v>24</v>
      </c>
      <c r="S337">
        <f>IF(Booking_Data[[#This Row],[Cancellation Status]]="yes",1,0)</f>
        <v>0</v>
      </c>
    </row>
    <row r="338" spans="1:19" x14ac:dyDescent="0.35">
      <c r="A338" t="s">
        <v>697</v>
      </c>
      <c r="B338" t="s">
        <v>698</v>
      </c>
      <c r="C338" s="1">
        <v>45355</v>
      </c>
      <c r="D338" s="1">
        <v>45361</v>
      </c>
      <c r="E338" s="1">
        <v>45370</v>
      </c>
      <c r="F338" s="2">
        <f t="shared" si="25"/>
        <v>2</v>
      </c>
      <c r="G338" s="2" t="str">
        <f t="shared" si="26"/>
        <v>Monday</v>
      </c>
      <c r="H338" s="2" t="str">
        <f t="shared" si="27"/>
        <v>March</v>
      </c>
      <c r="I338" t="s">
        <v>14</v>
      </c>
      <c r="J338" t="s">
        <v>31</v>
      </c>
      <c r="K338" t="s">
        <v>42</v>
      </c>
      <c r="L338" t="s">
        <v>37</v>
      </c>
      <c r="M338">
        <v>109.15</v>
      </c>
      <c r="N338">
        <f t="shared" si="28"/>
        <v>9</v>
      </c>
      <c r="O338">
        <v>10</v>
      </c>
      <c r="P338" t="str">
        <f t="shared" si="29"/>
        <v>Yes</v>
      </c>
      <c r="Q338">
        <f>IF(Booking_Data[[#This Row],[Discounted Booking]]="Yes",1,0)</f>
        <v>1</v>
      </c>
      <c r="R338" t="s">
        <v>24</v>
      </c>
      <c r="S338">
        <f>IF(Booking_Data[[#This Row],[Cancellation Status]]="yes",1,0)</f>
        <v>0</v>
      </c>
    </row>
    <row r="339" spans="1:19" x14ac:dyDescent="0.35">
      <c r="A339" t="s">
        <v>699</v>
      </c>
      <c r="B339" t="s">
        <v>700</v>
      </c>
      <c r="C339" s="1">
        <v>45355</v>
      </c>
      <c r="D339" s="1">
        <v>45359</v>
      </c>
      <c r="E339" s="1">
        <v>45365</v>
      </c>
      <c r="F339" s="2">
        <f t="shared" si="25"/>
        <v>2</v>
      </c>
      <c r="G339" s="2" t="str">
        <f t="shared" si="26"/>
        <v>Monday</v>
      </c>
      <c r="H339" s="2" t="str">
        <f t="shared" si="27"/>
        <v>March</v>
      </c>
      <c r="I339" t="s">
        <v>14</v>
      </c>
      <c r="J339" t="s">
        <v>31</v>
      </c>
      <c r="K339" t="s">
        <v>49</v>
      </c>
      <c r="L339" t="s">
        <v>17</v>
      </c>
      <c r="M339">
        <v>1168.08</v>
      </c>
      <c r="N339">
        <f t="shared" si="28"/>
        <v>6</v>
      </c>
      <c r="O339">
        <v>5</v>
      </c>
      <c r="P339" t="str">
        <f t="shared" si="29"/>
        <v>Yes</v>
      </c>
      <c r="Q339">
        <f>IF(Booking_Data[[#This Row],[Discounted Booking]]="Yes",1,0)</f>
        <v>1</v>
      </c>
      <c r="R339" t="s">
        <v>24</v>
      </c>
      <c r="S339">
        <f>IF(Booking_Data[[#This Row],[Cancellation Status]]="yes",1,0)</f>
        <v>0</v>
      </c>
    </row>
    <row r="340" spans="1:19" x14ac:dyDescent="0.35">
      <c r="A340" t="s">
        <v>701</v>
      </c>
      <c r="B340" t="s">
        <v>702</v>
      </c>
      <c r="C340" s="1">
        <v>45355</v>
      </c>
      <c r="D340" s="1">
        <v>45368</v>
      </c>
      <c r="E340" s="1">
        <v>45373</v>
      </c>
      <c r="F340" s="2">
        <f t="shared" si="25"/>
        <v>2</v>
      </c>
      <c r="G340" s="2" t="str">
        <f t="shared" si="26"/>
        <v>Monday</v>
      </c>
      <c r="H340" s="2" t="str">
        <f t="shared" si="27"/>
        <v>March</v>
      </c>
      <c r="I340" t="s">
        <v>14</v>
      </c>
      <c r="J340" t="s">
        <v>15</v>
      </c>
      <c r="K340" t="s">
        <v>32</v>
      </c>
      <c r="L340" t="s">
        <v>27</v>
      </c>
      <c r="M340">
        <v>1393.81</v>
      </c>
      <c r="N340">
        <f t="shared" si="28"/>
        <v>5</v>
      </c>
      <c r="O340">
        <v>20</v>
      </c>
      <c r="P340" t="str">
        <f t="shared" si="29"/>
        <v>Yes</v>
      </c>
      <c r="Q340">
        <f>IF(Booking_Data[[#This Row],[Discounted Booking]]="Yes",1,0)</f>
        <v>1</v>
      </c>
      <c r="R340" t="s">
        <v>24</v>
      </c>
      <c r="S340">
        <f>IF(Booking_Data[[#This Row],[Cancellation Status]]="yes",1,0)</f>
        <v>0</v>
      </c>
    </row>
    <row r="341" spans="1:19" x14ac:dyDescent="0.35">
      <c r="A341" t="s">
        <v>703</v>
      </c>
      <c r="B341" t="s">
        <v>704</v>
      </c>
      <c r="C341" s="1">
        <v>45355</v>
      </c>
      <c r="D341" s="1">
        <v>45378</v>
      </c>
      <c r="E341" s="1">
        <v>45384</v>
      </c>
      <c r="F341" s="2">
        <f t="shared" si="25"/>
        <v>2</v>
      </c>
      <c r="G341" s="2" t="str">
        <f t="shared" si="26"/>
        <v>Monday</v>
      </c>
      <c r="H341" s="2" t="str">
        <f t="shared" si="27"/>
        <v>March</v>
      </c>
      <c r="I341" t="s">
        <v>35</v>
      </c>
      <c r="J341" t="s">
        <v>21</v>
      </c>
      <c r="K341" t="s">
        <v>49</v>
      </c>
      <c r="L341" t="s">
        <v>27</v>
      </c>
      <c r="M341">
        <v>942.17</v>
      </c>
      <c r="N341">
        <f t="shared" si="28"/>
        <v>6</v>
      </c>
      <c r="O341">
        <v>20</v>
      </c>
      <c r="P341" t="str">
        <f t="shared" si="29"/>
        <v>Yes</v>
      </c>
      <c r="Q341">
        <f>IF(Booking_Data[[#This Row],[Discounted Booking]]="Yes",1,0)</f>
        <v>1</v>
      </c>
      <c r="R341" t="s">
        <v>18</v>
      </c>
      <c r="S341">
        <f>IF(Booking_Data[[#This Row],[Cancellation Status]]="yes",1,0)</f>
        <v>1</v>
      </c>
    </row>
    <row r="342" spans="1:19" x14ac:dyDescent="0.35">
      <c r="A342" t="s">
        <v>705</v>
      </c>
      <c r="B342" t="s">
        <v>706</v>
      </c>
      <c r="C342" s="1">
        <v>45355</v>
      </c>
      <c r="D342" s="1">
        <v>45376</v>
      </c>
      <c r="E342" s="1">
        <v>45380</v>
      </c>
      <c r="F342" s="2">
        <f t="shared" si="25"/>
        <v>2</v>
      </c>
      <c r="G342" s="2" t="str">
        <f t="shared" si="26"/>
        <v>Monday</v>
      </c>
      <c r="H342" s="2" t="str">
        <f t="shared" si="27"/>
        <v>March</v>
      </c>
      <c r="I342" t="s">
        <v>35</v>
      </c>
      <c r="J342" t="s">
        <v>15</v>
      </c>
      <c r="K342" t="s">
        <v>32</v>
      </c>
      <c r="L342" t="s">
        <v>23</v>
      </c>
      <c r="M342">
        <v>246.67</v>
      </c>
      <c r="N342">
        <f t="shared" si="28"/>
        <v>4</v>
      </c>
      <c r="O342">
        <v>0</v>
      </c>
      <c r="P342" t="str">
        <f t="shared" si="29"/>
        <v>No</v>
      </c>
      <c r="Q342">
        <f>IF(Booking_Data[[#This Row],[Discounted Booking]]="Yes",1,0)</f>
        <v>0</v>
      </c>
      <c r="R342" t="s">
        <v>24</v>
      </c>
      <c r="S342">
        <f>IF(Booking_Data[[#This Row],[Cancellation Status]]="yes",1,0)</f>
        <v>0</v>
      </c>
    </row>
    <row r="343" spans="1:19" x14ac:dyDescent="0.35">
      <c r="A343" t="s">
        <v>707</v>
      </c>
      <c r="B343" t="s">
        <v>708</v>
      </c>
      <c r="C343" s="1">
        <v>45356</v>
      </c>
      <c r="D343" s="1">
        <v>45376</v>
      </c>
      <c r="E343" s="1">
        <v>45386</v>
      </c>
      <c r="F343" s="2">
        <f t="shared" si="25"/>
        <v>2</v>
      </c>
      <c r="G343" s="2" t="str">
        <f t="shared" si="26"/>
        <v>Tuesday</v>
      </c>
      <c r="H343" s="2" t="str">
        <f t="shared" si="27"/>
        <v>March</v>
      </c>
      <c r="I343" t="s">
        <v>30</v>
      </c>
      <c r="J343" t="s">
        <v>36</v>
      </c>
      <c r="K343" t="s">
        <v>42</v>
      </c>
      <c r="L343" t="s">
        <v>37</v>
      </c>
      <c r="M343">
        <v>1489.97</v>
      </c>
      <c r="N343">
        <f t="shared" si="28"/>
        <v>10</v>
      </c>
      <c r="O343">
        <v>25</v>
      </c>
      <c r="P343" t="str">
        <f t="shared" si="29"/>
        <v>Yes</v>
      </c>
      <c r="Q343">
        <f>IF(Booking_Data[[#This Row],[Discounted Booking]]="Yes",1,0)</f>
        <v>1</v>
      </c>
      <c r="R343" t="s">
        <v>18</v>
      </c>
      <c r="S343">
        <f>IF(Booking_Data[[#This Row],[Cancellation Status]]="yes",1,0)</f>
        <v>1</v>
      </c>
    </row>
    <row r="344" spans="1:19" x14ac:dyDescent="0.35">
      <c r="A344" t="s">
        <v>709</v>
      </c>
      <c r="B344" t="s">
        <v>710</v>
      </c>
      <c r="C344" s="1">
        <v>45356</v>
      </c>
      <c r="D344" s="1">
        <v>45370</v>
      </c>
      <c r="E344" s="1">
        <v>45377</v>
      </c>
      <c r="F344" s="2">
        <f t="shared" si="25"/>
        <v>2</v>
      </c>
      <c r="G344" s="2" t="str">
        <f t="shared" si="26"/>
        <v>Tuesday</v>
      </c>
      <c r="H344" s="2" t="str">
        <f t="shared" si="27"/>
        <v>March</v>
      </c>
      <c r="I344" t="s">
        <v>35</v>
      </c>
      <c r="J344" t="s">
        <v>15</v>
      </c>
      <c r="K344" t="s">
        <v>49</v>
      </c>
      <c r="L344" t="s">
        <v>27</v>
      </c>
      <c r="M344">
        <v>680.94</v>
      </c>
      <c r="N344">
        <f t="shared" si="28"/>
        <v>7</v>
      </c>
      <c r="O344">
        <v>25</v>
      </c>
      <c r="P344" t="str">
        <f t="shared" si="29"/>
        <v>Yes</v>
      </c>
      <c r="Q344">
        <f>IF(Booking_Data[[#This Row],[Discounted Booking]]="Yes",1,0)</f>
        <v>1</v>
      </c>
      <c r="R344" t="s">
        <v>18</v>
      </c>
      <c r="S344">
        <f>IF(Booking_Data[[#This Row],[Cancellation Status]]="yes",1,0)</f>
        <v>1</v>
      </c>
    </row>
    <row r="345" spans="1:19" x14ac:dyDescent="0.35">
      <c r="A345" t="s">
        <v>711</v>
      </c>
      <c r="B345" t="s">
        <v>712</v>
      </c>
      <c r="C345" s="1">
        <v>45356</v>
      </c>
      <c r="D345" s="1">
        <v>45383</v>
      </c>
      <c r="E345" s="1">
        <v>45390</v>
      </c>
      <c r="F345" s="2">
        <f t="shared" si="25"/>
        <v>2</v>
      </c>
      <c r="G345" s="2" t="str">
        <f t="shared" si="26"/>
        <v>Tuesday</v>
      </c>
      <c r="H345" s="2" t="str">
        <f t="shared" si="27"/>
        <v>March</v>
      </c>
      <c r="I345" t="s">
        <v>35</v>
      </c>
      <c r="J345" t="s">
        <v>31</v>
      </c>
      <c r="K345" t="s">
        <v>32</v>
      </c>
      <c r="L345" t="s">
        <v>17</v>
      </c>
      <c r="M345">
        <v>894.38</v>
      </c>
      <c r="N345">
        <f t="shared" si="28"/>
        <v>7</v>
      </c>
      <c r="O345">
        <v>0</v>
      </c>
      <c r="P345" t="str">
        <f t="shared" si="29"/>
        <v>No</v>
      </c>
      <c r="Q345">
        <f>IF(Booking_Data[[#This Row],[Discounted Booking]]="Yes",1,0)</f>
        <v>0</v>
      </c>
      <c r="R345" t="s">
        <v>18</v>
      </c>
      <c r="S345">
        <f>IF(Booking_Data[[#This Row],[Cancellation Status]]="yes",1,0)</f>
        <v>1</v>
      </c>
    </row>
    <row r="346" spans="1:19" x14ac:dyDescent="0.35">
      <c r="A346" t="s">
        <v>713</v>
      </c>
      <c r="B346" t="s">
        <v>714</v>
      </c>
      <c r="C346" s="1">
        <v>45356</v>
      </c>
      <c r="D346" s="1">
        <v>45362</v>
      </c>
      <c r="E346" s="1">
        <v>45363</v>
      </c>
      <c r="F346" s="2">
        <f t="shared" si="25"/>
        <v>2</v>
      </c>
      <c r="G346" s="2" t="str">
        <f t="shared" si="26"/>
        <v>Tuesday</v>
      </c>
      <c r="H346" s="2" t="str">
        <f t="shared" si="27"/>
        <v>March</v>
      </c>
      <c r="I346" t="s">
        <v>14</v>
      </c>
      <c r="J346" t="s">
        <v>15</v>
      </c>
      <c r="K346" t="s">
        <v>49</v>
      </c>
      <c r="L346" t="s">
        <v>23</v>
      </c>
      <c r="M346">
        <v>792.2</v>
      </c>
      <c r="N346">
        <f t="shared" si="28"/>
        <v>1</v>
      </c>
      <c r="O346">
        <v>10</v>
      </c>
      <c r="P346" t="str">
        <f t="shared" si="29"/>
        <v>Yes</v>
      </c>
      <c r="Q346">
        <f>IF(Booking_Data[[#This Row],[Discounted Booking]]="Yes",1,0)</f>
        <v>1</v>
      </c>
      <c r="R346" t="s">
        <v>18</v>
      </c>
      <c r="S346">
        <f>IF(Booking_Data[[#This Row],[Cancellation Status]]="yes",1,0)</f>
        <v>1</v>
      </c>
    </row>
    <row r="347" spans="1:19" x14ac:dyDescent="0.35">
      <c r="A347" t="s">
        <v>715</v>
      </c>
      <c r="B347" t="s">
        <v>716</v>
      </c>
      <c r="C347" s="1">
        <v>45357</v>
      </c>
      <c r="D347" s="1">
        <v>45362</v>
      </c>
      <c r="E347" s="1">
        <v>45367</v>
      </c>
      <c r="F347" s="2">
        <f t="shared" si="25"/>
        <v>2</v>
      </c>
      <c r="G347" s="2" t="str">
        <f t="shared" si="26"/>
        <v>Wednesday</v>
      </c>
      <c r="H347" s="2" t="str">
        <f t="shared" si="27"/>
        <v>March</v>
      </c>
      <c r="I347" t="s">
        <v>30</v>
      </c>
      <c r="J347" t="s">
        <v>36</v>
      </c>
      <c r="K347" t="s">
        <v>42</v>
      </c>
      <c r="L347" t="s">
        <v>17</v>
      </c>
      <c r="M347">
        <v>147.96</v>
      </c>
      <c r="N347">
        <f t="shared" si="28"/>
        <v>5</v>
      </c>
      <c r="O347">
        <v>10</v>
      </c>
      <c r="P347" t="str">
        <f t="shared" si="29"/>
        <v>Yes</v>
      </c>
      <c r="Q347">
        <f>IF(Booking_Data[[#This Row],[Discounted Booking]]="Yes",1,0)</f>
        <v>1</v>
      </c>
      <c r="R347" t="s">
        <v>24</v>
      </c>
      <c r="S347">
        <f>IF(Booking_Data[[#This Row],[Cancellation Status]]="yes",1,0)</f>
        <v>0</v>
      </c>
    </row>
    <row r="348" spans="1:19" x14ac:dyDescent="0.35">
      <c r="A348" t="s">
        <v>717</v>
      </c>
      <c r="B348" t="s">
        <v>41</v>
      </c>
      <c r="C348" s="1">
        <v>45357</v>
      </c>
      <c r="D348" s="1">
        <v>45360</v>
      </c>
      <c r="E348" s="1">
        <v>45365</v>
      </c>
      <c r="F348" s="2">
        <f t="shared" si="25"/>
        <v>2</v>
      </c>
      <c r="G348" s="2" t="str">
        <f t="shared" si="26"/>
        <v>Wednesday</v>
      </c>
      <c r="H348" s="2" t="str">
        <f t="shared" si="27"/>
        <v>March</v>
      </c>
      <c r="I348" t="s">
        <v>30</v>
      </c>
      <c r="J348" t="s">
        <v>31</v>
      </c>
      <c r="K348" t="s">
        <v>22</v>
      </c>
      <c r="L348" t="s">
        <v>17</v>
      </c>
      <c r="M348">
        <v>571.21</v>
      </c>
      <c r="N348">
        <f t="shared" si="28"/>
        <v>5</v>
      </c>
      <c r="O348">
        <v>25</v>
      </c>
      <c r="P348" t="str">
        <f t="shared" si="29"/>
        <v>Yes</v>
      </c>
      <c r="Q348">
        <f>IF(Booking_Data[[#This Row],[Discounted Booking]]="Yes",1,0)</f>
        <v>1</v>
      </c>
      <c r="R348" t="s">
        <v>24</v>
      </c>
      <c r="S348">
        <f>IF(Booking_Data[[#This Row],[Cancellation Status]]="yes",1,0)</f>
        <v>0</v>
      </c>
    </row>
    <row r="349" spans="1:19" x14ac:dyDescent="0.35">
      <c r="A349" t="s">
        <v>718</v>
      </c>
      <c r="B349" t="s">
        <v>719</v>
      </c>
      <c r="C349" s="1">
        <v>45357</v>
      </c>
      <c r="D349" s="1">
        <v>45377</v>
      </c>
      <c r="E349" s="1">
        <v>45381</v>
      </c>
      <c r="F349" s="2">
        <f t="shared" si="25"/>
        <v>2</v>
      </c>
      <c r="G349" s="2" t="str">
        <f t="shared" si="26"/>
        <v>Wednesday</v>
      </c>
      <c r="H349" s="2" t="str">
        <f t="shared" si="27"/>
        <v>March</v>
      </c>
      <c r="I349" t="s">
        <v>14</v>
      </c>
      <c r="J349" t="s">
        <v>31</v>
      </c>
      <c r="K349" t="s">
        <v>32</v>
      </c>
      <c r="L349" t="s">
        <v>17</v>
      </c>
      <c r="M349">
        <v>1074.1099999999999</v>
      </c>
      <c r="N349">
        <f t="shared" si="28"/>
        <v>4</v>
      </c>
      <c r="O349">
        <v>10</v>
      </c>
      <c r="P349" t="str">
        <f t="shared" si="29"/>
        <v>Yes</v>
      </c>
      <c r="Q349">
        <f>IF(Booking_Data[[#This Row],[Discounted Booking]]="Yes",1,0)</f>
        <v>1</v>
      </c>
      <c r="R349" t="s">
        <v>24</v>
      </c>
      <c r="S349">
        <f>IF(Booking_Data[[#This Row],[Cancellation Status]]="yes",1,0)</f>
        <v>0</v>
      </c>
    </row>
    <row r="350" spans="1:19" x14ac:dyDescent="0.35">
      <c r="A350" t="s">
        <v>720</v>
      </c>
      <c r="B350" t="s">
        <v>150</v>
      </c>
      <c r="C350" s="1">
        <v>45357</v>
      </c>
      <c r="D350" s="1">
        <v>45368</v>
      </c>
      <c r="E350" s="1">
        <v>45369</v>
      </c>
      <c r="F350" s="2">
        <f t="shared" si="25"/>
        <v>2</v>
      </c>
      <c r="G350" s="2" t="str">
        <f t="shared" si="26"/>
        <v>Wednesday</v>
      </c>
      <c r="H350" s="2" t="str">
        <f t="shared" si="27"/>
        <v>March</v>
      </c>
      <c r="I350" t="s">
        <v>35</v>
      </c>
      <c r="J350" t="s">
        <v>31</v>
      </c>
      <c r="K350" t="s">
        <v>32</v>
      </c>
      <c r="L350" t="s">
        <v>17</v>
      </c>
      <c r="M350">
        <v>1218.6600000000001</v>
      </c>
      <c r="N350">
        <f t="shared" si="28"/>
        <v>1</v>
      </c>
      <c r="O350">
        <v>10</v>
      </c>
      <c r="P350" t="str">
        <f t="shared" si="29"/>
        <v>Yes</v>
      </c>
      <c r="Q350">
        <f>IF(Booking_Data[[#This Row],[Discounted Booking]]="Yes",1,0)</f>
        <v>1</v>
      </c>
      <c r="R350" t="s">
        <v>18</v>
      </c>
      <c r="S350">
        <f>IF(Booking_Data[[#This Row],[Cancellation Status]]="yes",1,0)</f>
        <v>1</v>
      </c>
    </row>
    <row r="351" spans="1:19" x14ac:dyDescent="0.35">
      <c r="A351" t="s">
        <v>721</v>
      </c>
      <c r="B351" t="s">
        <v>722</v>
      </c>
      <c r="C351" s="1">
        <v>45357</v>
      </c>
      <c r="D351" s="1">
        <v>45363</v>
      </c>
      <c r="E351" s="1">
        <v>45371</v>
      </c>
      <c r="F351" s="2">
        <f t="shared" si="25"/>
        <v>2</v>
      </c>
      <c r="G351" s="2" t="str">
        <f t="shared" si="26"/>
        <v>Wednesday</v>
      </c>
      <c r="H351" s="2" t="str">
        <f t="shared" si="27"/>
        <v>March</v>
      </c>
      <c r="I351" t="s">
        <v>35</v>
      </c>
      <c r="J351" t="s">
        <v>21</v>
      </c>
      <c r="K351" t="s">
        <v>22</v>
      </c>
      <c r="L351" t="s">
        <v>27</v>
      </c>
      <c r="M351">
        <v>1110.6300000000001</v>
      </c>
      <c r="N351">
        <f t="shared" si="28"/>
        <v>8</v>
      </c>
      <c r="O351">
        <v>15</v>
      </c>
      <c r="P351" t="str">
        <f t="shared" si="29"/>
        <v>Yes</v>
      </c>
      <c r="Q351">
        <f>IF(Booking_Data[[#This Row],[Discounted Booking]]="Yes",1,0)</f>
        <v>1</v>
      </c>
      <c r="R351" t="s">
        <v>24</v>
      </c>
      <c r="S351">
        <f>IF(Booking_Data[[#This Row],[Cancellation Status]]="yes",1,0)</f>
        <v>0</v>
      </c>
    </row>
    <row r="352" spans="1:19" x14ac:dyDescent="0.35">
      <c r="A352" t="s">
        <v>723</v>
      </c>
      <c r="B352" t="s">
        <v>724</v>
      </c>
      <c r="C352" s="1">
        <v>45357</v>
      </c>
      <c r="D352" s="1">
        <v>45387</v>
      </c>
      <c r="E352" s="1">
        <v>45394</v>
      </c>
      <c r="F352" s="2">
        <f t="shared" si="25"/>
        <v>2</v>
      </c>
      <c r="G352" s="2" t="str">
        <f t="shared" si="26"/>
        <v>Wednesday</v>
      </c>
      <c r="H352" s="2" t="str">
        <f t="shared" si="27"/>
        <v>March</v>
      </c>
      <c r="I352" t="s">
        <v>30</v>
      </c>
      <c r="J352" t="s">
        <v>15</v>
      </c>
      <c r="K352" t="s">
        <v>49</v>
      </c>
      <c r="L352" t="s">
        <v>37</v>
      </c>
      <c r="M352">
        <v>315.67</v>
      </c>
      <c r="N352">
        <f t="shared" si="28"/>
        <v>7</v>
      </c>
      <c r="O352">
        <v>15</v>
      </c>
      <c r="P352" t="str">
        <f t="shared" si="29"/>
        <v>Yes</v>
      </c>
      <c r="Q352">
        <f>IF(Booking_Data[[#This Row],[Discounted Booking]]="Yes",1,0)</f>
        <v>1</v>
      </c>
      <c r="R352" t="s">
        <v>18</v>
      </c>
      <c r="S352">
        <f>IF(Booking_Data[[#This Row],[Cancellation Status]]="yes",1,0)</f>
        <v>1</v>
      </c>
    </row>
    <row r="353" spans="1:19" x14ac:dyDescent="0.35">
      <c r="A353" t="s">
        <v>725</v>
      </c>
      <c r="B353" t="s">
        <v>726</v>
      </c>
      <c r="C353" s="1">
        <v>45357</v>
      </c>
      <c r="D353" s="1">
        <v>45384</v>
      </c>
      <c r="E353" s="1">
        <v>45393</v>
      </c>
      <c r="F353" s="2">
        <f t="shared" si="25"/>
        <v>2</v>
      </c>
      <c r="G353" s="2" t="str">
        <f t="shared" si="26"/>
        <v>Wednesday</v>
      </c>
      <c r="H353" s="2" t="str">
        <f t="shared" si="27"/>
        <v>March</v>
      </c>
      <c r="I353" t="s">
        <v>35</v>
      </c>
      <c r="J353" t="s">
        <v>15</v>
      </c>
      <c r="K353" t="s">
        <v>42</v>
      </c>
      <c r="L353" t="s">
        <v>23</v>
      </c>
      <c r="M353">
        <v>1385.11</v>
      </c>
      <c r="N353">
        <f t="shared" si="28"/>
        <v>9</v>
      </c>
      <c r="O353">
        <v>5</v>
      </c>
      <c r="P353" t="str">
        <f t="shared" si="29"/>
        <v>Yes</v>
      </c>
      <c r="Q353">
        <f>IF(Booking_Data[[#This Row],[Discounted Booking]]="Yes",1,0)</f>
        <v>1</v>
      </c>
      <c r="R353" t="s">
        <v>24</v>
      </c>
      <c r="S353">
        <f>IF(Booking_Data[[#This Row],[Cancellation Status]]="yes",1,0)</f>
        <v>0</v>
      </c>
    </row>
    <row r="354" spans="1:19" x14ac:dyDescent="0.35">
      <c r="A354" t="s">
        <v>727</v>
      </c>
      <c r="B354" t="s">
        <v>728</v>
      </c>
      <c r="C354" s="1">
        <v>45357</v>
      </c>
      <c r="D354" s="1">
        <v>45365</v>
      </c>
      <c r="E354" s="1">
        <v>45373</v>
      </c>
      <c r="F354" s="2">
        <f t="shared" si="25"/>
        <v>2</v>
      </c>
      <c r="G354" s="2" t="str">
        <f t="shared" si="26"/>
        <v>Wednesday</v>
      </c>
      <c r="H354" s="2" t="str">
        <f t="shared" si="27"/>
        <v>March</v>
      </c>
      <c r="I354" t="s">
        <v>35</v>
      </c>
      <c r="J354" t="s">
        <v>31</v>
      </c>
      <c r="K354" t="s">
        <v>42</v>
      </c>
      <c r="L354" t="s">
        <v>23</v>
      </c>
      <c r="M354">
        <v>271.81</v>
      </c>
      <c r="N354">
        <f t="shared" si="28"/>
        <v>8</v>
      </c>
      <c r="O354">
        <v>0</v>
      </c>
      <c r="P354" t="str">
        <f t="shared" si="29"/>
        <v>No</v>
      </c>
      <c r="Q354">
        <f>IF(Booking_Data[[#This Row],[Discounted Booking]]="Yes",1,0)</f>
        <v>0</v>
      </c>
      <c r="R354" t="s">
        <v>24</v>
      </c>
      <c r="S354">
        <f>IF(Booking_Data[[#This Row],[Cancellation Status]]="yes",1,0)</f>
        <v>0</v>
      </c>
    </row>
    <row r="355" spans="1:19" x14ac:dyDescent="0.35">
      <c r="A355" t="s">
        <v>729</v>
      </c>
      <c r="B355" t="s">
        <v>730</v>
      </c>
      <c r="C355" s="1">
        <v>45357</v>
      </c>
      <c r="D355" s="1">
        <v>45374</v>
      </c>
      <c r="E355" s="1">
        <v>45376</v>
      </c>
      <c r="F355" s="2">
        <f t="shared" si="25"/>
        <v>2</v>
      </c>
      <c r="G355" s="2" t="str">
        <f t="shared" si="26"/>
        <v>Wednesday</v>
      </c>
      <c r="H355" s="2" t="str">
        <f t="shared" si="27"/>
        <v>March</v>
      </c>
      <c r="I355" t="s">
        <v>35</v>
      </c>
      <c r="J355" t="s">
        <v>31</v>
      </c>
      <c r="K355" t="s">
        <v>49</v>
      </c>
      <c r="L355" t="s">
        <v>17</v>
      </c>
      <c r="M355">
        <v>602.85</v>
      </c>
      <c r="N355">
        <f t="shared" si="28"/>
        <v>2</v>
      </c>
      <c r="O355">
        <v>15</v>
      </c>
      <c r="P355" t="str">
        <f t="shared" si="29"/>
        <v>Yes</v>
      </c>
      <c r="Q355">
        <f>IF(Booking_Data[[#This Row],[Discounted Booking]]="Yes",1,0)</f>
        <v>1</v>
      </c>
      <c r="R355" t="s">
        <v>24</v>
      </c>
      <c r="S355">
        <f>IF(Booking_Data[[#This Row],[Cancellation Status]]="yes",1,0)</f>
        <v>0</v>
      </c>
    </row>
    <row r="356" spans="1:19" x14ac:dyDescent="0.35">
      <c r="A356" t="s">
        <v>731</v>
      </c>
      <c r="B356" t="s">
        <v>732</v>
      </c>
      <c r="C356" s="1">
        <v>45357</v>
      </c>
      <c r="D356" s="1">
        <v>45361</v>
      </c>
      <c r="E356" s="1">
        <v>45362</v>
      </c>
      <c r="F356" s="2">
        <f t="shared" si="25"/>
        <v>2</v>
      </c>
      <c r="G356" s="2" t="str">
        <f t="shared" si="26"/>
        <v>Wednesday</v>
      </c>
      <c r="H356" s="2" t="str">
        <f t="shared" si="27"/>
        <v>March</v>
      </c>
      <c r="I356" t="s">
        <v>35</v>
      </c>
      <c r="J356" t="s">
        <v>15</v>
      </c>
      <c r="K356" t="s">
        <v>58</v>
      </c>
      <c r="L356" t="s">
        <v>23</v>
      </c>
      <c r="M356">
        <v>1488.01</v>
      </c>
      <c r="N356">
        <f t="shared" si="28"/>
        <v>1</v>
      </c>
      <c r="O356">
        <v>20</v>
      </c>
      <c r="P356" t="str">
        <f t="shared" si="29"/>
        <v>Yes</v>
      </c>
      <c r="Q356">
        <f>IF(Booking_Data[[#This Row],[Discounted Booking]]="Yes",1,0)</f>
        <v>1</v>
      </c>
      <c r="R356" t="s">
        <v>24</v>
      </c>
      <c r="S356">
        <f>IF(Booking_Data[[#This Row],[Cancellation Status]]="yes",1,0)</f>
        <v>0</v>
      </c>
    </row>
    <row r="357" spans="1:19" x14ac:dyDescent="0.35">
      <c r="A357" t="s">
        <v>733</v>
      </c>
      <c r="B357" t="s">
        <v>734</v>
      </c>
      <c r="C357" s="1">
        <v>45357</v>
      </c>
      <c r="D357" s="1">
        <v>45361</v>
      </c>
      <c r="E357" s="1">
        <v>45365</v>
      </c>
      <c r="F357" s="2">
        <f t="shared" si="25"/>
        <v>2</v>
      </c>
      <c r="G357" s="2" t="str">
        <f t="shared" si="26"/>
        <v>Wednesday</v>
      </c>
      <c r="H357" s="2" t="str">
        <f t="shared" si="27"/>
        <v>March</v>
      </c>
      <c r="I357" t="s">
        <v>35</v>
      </c>
      <c r="J357" t="s">
        <v>21</v>
      </c>
      <c r="K357" t="s">
        <v>22</v>
      </c>
      <c r="L357" t="s">
        <v>27</v>
      </c>
      <c r="M357">
        <v>476.04</v>
      </c>
      <c r="N357">
        <f t="shared" si="28"/>
        <v>4</v>
      </c>
      <c r="O357">
        <v>25</v>
      </c>
      <c r="P357" t="str">
        <f t="shared" si="29"/>
        <v>Yes</v>
      </c>
      <c r="Q357">
        <f>IF(Booking_Data[[#This Row],[Discounted Booking]]="Yes",1,0)</f>
        <v>1</v>
      </c>
      <c r="R357" t="s">
        <v>18</v>
      </c>
      <c r="S357">
        <f>IF(Booking_Data[[#This Row],[Cancellation Status]]="yes",1,0)</f>
        <v>1</v>
      </c>
    </row>
    <row r="358" spans="1:19" x14ac:dyDescent="0.35">
      <c r="A358" t="s">
        <v>735</v>
      </c>
      <c r="B358" t="s">
        <v>736</v>
      </c>
      <c r="C358" s="1">
        <v>45358</v>
      </c>
      <c r="D358" s="1">
        <v>45381</v>
      </c>
      <c r="E358" s="1">
        <v>45386</v>
      </c>
      <c r="F358" s="2">
        <f t="shared" si="25"/>
        <v>2</v>
      </c>
      <c r="G358" s="2" t="str">
        <f t="shared" si="26"/>
        <v>Thursday</v>
      </c>
      <c r="H358" s="2" t="str">
        <f t="shared" si="27"/>
        <v>March</v>
      </c>
      <c r="I358" t="s">
        <v>35</v>
      </c>
      <c r="J358" t="s">
        <v>36</v>
      </c>
      <c r="K358" t="s">
        <v>58</v>
      </c>
      <c r="L358" t="s">
        <v>27</v>
      </c>
      <c r="M358">
        <v>1294.18</v>
      </c>
      <c r="N358">
        <f t="shared" si="28"/>
        <v>5</v>
      </c>
      <c r="O358">
        <v>0</v>
      </c>
      <c r="P358" t="str">
        <f t="shared" si="29"/>
        <v>No</v>
      </c>
      <c r="Q358">
        <f>IF(Booking_Data[[#This Row],[Discounted Booking]]="Yes",1,0)</f>
        <v>0</v>
      </c>
      <c r="R358" t="s">
        <v>18</v>
      </c>
      <c r="S358">
        <f>IF(Booking_Data[[#This Row],[Cancellation Status]]="yes",1,0)</f>
        <v>1</v>
      </c>
    </row>
    <row r="359" spans="1:19" x14ac:dyDescent="0.35">
      <c r="A359" t="s">
        <v>737</v>
      </c>
      <c r="B359" t="s">
        <v>738</v>
      </c>
      <c r="C359" s="1">
        <v>45358</v>
      </c>
      <c r="D359" s="1">
        <v>45372</v>
      </c>
      <c r="E359" s="1">
        <v>45379</v>
      </c>
      <c r="F359" s="2">
        <f t="shared" si="25"/>
        <v>2</v>
      </c>
      <c r="G359" s="2" t="str">
        <f t="shared" si="26"/>
        <v>Thursday</v>
      </c>
      <c r="H359" s="2" t="str">
        <f t="shared" si="27"/>
        <v>March</v>
      </c>
      <c r="I359" t="s">
        <v>14</v>
      </c>
      <c r="J359" t="s">
        <v>15</v>
      </c>
      <c r="K359" t="s">
        <v>22</v>
      </c>
      <c r="L359" t="s">
        <v>37</v>
      </c>
      <c r="M359">
        <v>191.3</v>
      </c>
      <c r="N359">
        <f t="shared" si="28"/>
        <v>7</v>
      </c>
      <c r="O359">
        <v>25</v>
      </c>
      <c r="P359" t="str">
        <f t="shared" si="29"/>
        <v>Yes</v>
      </c>
      <c r="Q359">
        <f>IF(Booking_Data[[#This Row],[Discounted Booking]]="Yes",1,0)</f>
        <v>1</v>
      </c>
      <c r="R359" t="s">
        <v>24</v>
      </c>
      <c r="S359">
        <f>IF(Booking_Data[[#This Row],[Cancellation Status]]="yes",1,0)</f>
        <v>0</v>
      </c>
    </row>
    <row r="360" spans="1:19" x14ac:dyDescent="0.35">
      <c r="A360" t="s">
        <v>739</v>
      </c>
      <c r="B360" t="s">
        <v>740</v>
      </c>
      <c r="C360" s="1">
        <v>45358</v>
      </c>
      <c r="D360" s="1">
        <v>45371</v>
      </c>
      <c r="E360" s="1">
        <v>45376</v>
      </c>
      <c r="F360" s="2">
        <f t="shared" si="25"/>
        <v>2</v>
      </c>
      <c r="G360" s="2" t="str">
        <f t="shared" si="26"/>
        <v>Thursday</v>
      </c>
      <c r="H360" s="2" t="str">
        <f t="shared" si="27"/>
        <v>March</v>
      </c>
      <c r="I360" t="s">
        <v>14</v>
      </c>
      <c r="J360" t="s">
        <v>31</v>
      </c>
      <c r="K360" t="s">
        <v>22</v>
      </c>
      <c r="L360" t="s">
        <v>23</v>
      </c>
      <c r="M360">
        <v>1219.48</v>
      </c>
      <c r="N360">
        <f t="shared" si="28"/>
        <v>5</v>
      </c>
      <c r="O360">
        <v>5</v>
      </c>
      <c r="P360" t="str">
        <f t="shared" si="29"/>
        <v>Yes</v>
      </c>
      <c r="Q360">
        <f>IF(Booking_Data[[#This Row],[Discounted Booking]]="Yes",1,0)</f>
        <v>1</v>
      </c>
      <c r="R360" t="s">
        <v>24</v>
      </c>
      <c r="S360">
        <f>IF(Booking_Data[[#This Row],[Cancellation Status]]="yes",1,0)</f>
        <v>0</v>
      </c>
    </row>
    <row r="361" spans="1:19" x14ac:dyDescent="0.35">
      <c r="A361" t="s">
        <v>741</v>
      </c>
      <c r="B361" t="s">
        <v>742</v>
      </c>
      <c r="C361" s="1">
        <v>45358</v>
      </c>
      <c r="D361" s="1">
        <v>45385</v>
      </c>
      <c r="E361" s="1">
        <v>45394</v>
      </c>
      <c r="F361" s="2">
        <f t="shared" si="25"/>
        <v>2</v>
      </c>
      <c r="G361" s="2" t="str">
        <f t="shared" si="26"/>
        <v>Thursday</v>
      </c>
      <c r="H361" s="2" t="str">
        <f t="shared" si="27"/>
        <v>March</v>
      </c>
      <c r="I361" t="s">
        <v>30</v>
      </c>
      <c r="J361" t="s">
        <v>31</v>
      </c>
      <c r="K361" t="s">
        <v>16</v>
      </c>
      <c r="L361" t="s">
        <v>37</v>
      </c>
      <c r="M361">
        <v>1471.45</v>
      </c>
      <c r="N361">
        <f t="shared" si="28"/>
        <v>9</v>
      </c>
      <c r="O361">
        <v>0</v>
      </c>
      <c r="P361" t="str">
        <f t="shared" si="29"/>
        <v>No</v>
      </c>
      <c r="Q361">
        <f>IF(Booking_Data[[#This Row],[Discounted Booking]]="Yes",1,0)</f>
        <v>0</v>
      </c>
      <c r="R361" t="s">
        <v>24</v>
      </c>
      <c r="S361">
        <f>IF(Booking_Data[[#This Row],[Cancellation Status]]="yes",1,0)</f>
        <v>0</v>
      </c>
    </row>
    <row r="362" spans="1:19" x14ac:dyDescent="0.35">
      <c r="A362" t="s">
        <v>743</v>
      </c>
      <c r="B362" t="s">
        <v>744</v>
      </c>
      <c r="C362" s="1">
        <v>45359</v>
      </c>
      <c r="D362" s="1">
        <v>45372</v>
      </c>
      <c r="E362" s="1">
        <v>45377</v>
      </c>
      <c r="F362" s="2">
        <f t="shared" si="25"/>
        <v>2</v>
      </c>
      <c r="G362" s="2" t="str">
        <f t="shared" si="26"/>
        <v>Friday</v>
      </c>
      <c r="H362" s="2" t="str">
        <f t="shared" si="27"/>
        <v>March</v>
      </c>
      <c r="I362" t="s">
        <v>14</v>
      </c>
      <c r="J362" t="s">
        <v>15</v>
      </c>
      <c r="K362" t="s">
        <v>22</v>
      </c>
      <c r="L362" t="s">
        <v>23</v>
      </c>
      <c r="M362">
        <v>392.16</v>
      </c>
      <c r="N362">
        <f t="shared" si="28"/>
        <v>5</v>
      </c>
      <c r="O362">
        <v>15</v>
      </c>
      <c r="P362" t="str">
        <f t="shared" si="29"/>
        <v>Yes</v>
      </c>
      <c r="Q362">
        <f>IF(Booking_Data[[#This Row],[Discounted Booking]]="Yes",1,0)</f>
        <v>1</v>
      </c>
      <c r="R362" t="s">
        <v>24</v>
      </c>
      <c r="S362">
        <f>IF(Booking_Data[[#This Row],[Cancellation Status]]="yes",1,0)</f>
        <v>0</v>
      </c>
    </row>
    <row r="363" spans="1:19" x14ac:dyDescent="0.35">
      <c r="A363" t="s">
        <v>745</v>
      </c>
      <c r="B363" t="s">
        <v>746</v>
      </c>
      <c r="C363" s="1">
        <v>45359</v>
      </c>
      <c r="D363" s="1">
        <v>45388</v>
      </c>
      <c r="E363" s="1">
        <v>45393</v>
      </c>
      <c r="F363" s="2">
        <f t="shared" si="25"/>
        <v>2</v>
      </c>
      <c r="G363" s="2" t="str">
        <f t="shared" si="26"/>
        <v>Friday</v>
      </c>
      <c r="H363" s="2" t="str">
        <f t="shared" si="27"/>
        <v>March</v>
      </c>
      <c r="I363" t="s">
        <v>30</v>
      </c>
      <c r="J363" t="s">
        <v>36</v>
      </c>
      <c r="K363" t="s">
        <v>16</v>
      </c>
      <c r="L363" t="s">
        <v>23</v>
      </c>
      <c r="M363">
        <v>1266.6500000000001</v>
      </c>
      <c r="N363">
        <f t="shared" si="28"/>
        <v>5</v>
      </c>
      <c r="O363">
        <v>10</v>
      </c>
      <c r="P363" t="str">
        <f t="shared" si="29"/>
        <v>Yes</v>
      </c>
      <c r="Q363">
        <f>IF(Booking_Data[[#This Row],[Discounted Booking]]="Yes",1,0)</f>
        <v>1</v>
      </c>
      <c r="R363" t="s">
        <v>24</v>
      </c>
      <c r="S363">
        <f>IF(Booking_Data[[#This Row],[Cancellation Status]]="yes",1,0)</f>
        <v>0</v>
      </c>
    </row>
    <row r="364" spans="1:19" x14ac:dyDescent="0.35">
      <c r="A364" t="s">
        <v>747</v>
      </c>
      <c r="B364" t="s">
        <v>748</v>
      </c>
      <c r="C364" s="1">
        <v>45359</v>
      </c>
      <c r="D364" s="1">
        <v>45380</v>
      </c>
      <c r="E364" s="1">
        <v>45386</v>
      </c>
      <c r="F364" s="2">
        <f t="shared" si="25"/>
        <v>2</v>
      </c>
      <c r="G364" s="2" t="str">
        <f t="shared" si="26"/>
        <v>Friday</v>
      </c>
      <c r="H364" s="2" t="str">
        <f t="shared" si="27"/>
        <v>March</v>
      </c>
      <c r="I364" t="s">
        <v>14</v>
      </c>
      <c r="J364" t="s">
        <v>15</v>
      </c>
      <c r="K364" t="s">
        <v>42</v>
      </c>
      <c r="L364" t="s">
        <v>23</v>
      </c>
      <c r="M364">
        <v>826.06</v>
      </c>
      <c r="N364">
        <f t="shared" si="28"/>
        <v>6</v>
      </c>
      <c r="O364">
        <v>5</v>
      </c>
      <c r="P364" t="str">
        <f t="shared" si="29"/>
        <v>Yes</v>
      </c>
      <c r="Q364">
        <f>IF(Booking_Data[[#This Row],[Discounted Booking]]="Yes",1,0)</f>
        <v>1</v>
      </c>
      <c r="R364" t="s">
        <v>24</v>
      </c>
      <c r="S364">
        <f>IF(Booking_Data[[#This Row],[Cancellation Status]]="yes",1,0)</f>
        <v>0</v>
      </c>
    </row>
    <row r="365" spans="1:19" x14ac:dyDescent="0.35">
      <c r="A365" t="s">
        <v>749</v>
      </c>
      <c r="B365" t="s">
        <v>750</v>
      </c>
      <c r="C365" s="1">
        <v>45359</v>
      </c>
      <c r="D365" s="1">
        <v>45372</v>
      </c>
      <c r="E365" s="1">
        <v>45382</v>
      </c>
      <c r="F365" s="2">
        <f t="shared" si="25"/>
        <v>2</v>
      </c>
      <c r="G365" s="2" t="str">
        <f t="shared" si="26"/>
        <v>Friday</v>
      </c>
      <c r="H365" s="2" t="str">
        <f t="shared" si="27"/>
        <v>March</v>
      </c>
      <c r="I365" t="s">
        <v>30</v>
      </c>
      <c r="J365" t="s">
        <v>31</v>
      </c>
      <c r="K365" t="s">
        <v>32</v>
      </c>
      <c r="L365" t="s">
        <v>17</v>
      </c>
      <c r="M365">
        <v>1027.8</v>
      </c>
      <c r="N365">
        <f t="shared" si="28"/>
        <v>10</v>
      </c>
      <c r="O365">
        <v>5</v>
      </c>
      <c r="P365" t="str">
        <f t="shared" si="29"/>
        <v>Yes</v>
      </c>
      <c r="Q365">
        <f>IF(Booking_Data[[#This Row],[Discounted Booking]]="Yes",1,0)</f>
        <v>1</v>
      </c>
      <c r="R365" t="s">
        <v>24</v>
      </c>
      <c r="S365">
        <f>IF(Booking_Data[[#This Row],[Cancellation Status]]="yes",1,0)</f>
        <v>0</v>
      </c>
    </row>
    <row r="366" spans="1:19" x14ac:dyDescent="0.35">
      <c r="A366" t="s">
        <v>751</v>
      </c>
      <c r="B366" t="s">
        <v>752</v>
      </c>
      <c r="C366" s="1">
        <v>45359</v>
      </c>
      <c r="D366" s="1">
        <v>45376</v>
      </c>
      <c r="E366" s="1">
        <v>45379</v>
      </c>
      <c r="F366" s="2">
        <f t="shared" si="25"/>
        <v>2</v>
      </c>
      <c r="G366" s="2" t="str">
        <f t="shared" si="26"/>
        <v>Friday</v>
      </c>
      <c r="H366" s="2" t="str">
        <f t="shared" si="27"/>
        <v>March</v>
      </c>
      <c r="I366" t="s">
        <v>30</v>
      </c>
      <c r="J366" t="s">
        <v>31</v>
      </c>
      <c r="K366" t="s">
        <v>32</v>
      </c>
      <c r="L366" t="s">
        <v>17</v>
      </c>
      <c r="M366">
        <v>124.16</v>
      </c>
      <c r="N366">
        <f t="shared" si="28"/>
        <v>3</v>
      </c>
      <c r="O366">
        <v>5</v>
      </c>
      <c r="P366" t="str">
        <f t="shared" si="29"/>
        <v>Yes</v>
      </c>
      <c r="Q366">
        <f>IF(Booking_Data[[#This Row],[Discounted Booking]]="Yes",1,0)</f>
        <v>1</v>
      </c>
      <c r="R366" t="s">
        <v>24</v>
      </c>
      <c r="S366">
        <f>IF(Booking_Data[[#This Row],[Cancellation Status]]="yes",1,0)</f>
        <v>0</v>
      </c>
    </row>
    <row r="367" spans="1:19" x14ac:dyDescent="0.35">
      <c r="A367" t="s">
        <v>753</v>
      </c>
      <c r="B367" t="s">
        <v>754</v>
      </c>
      <c r="C367" s="1">
        <v>45359</v>
      </c>
      <c r="D367" s="1">
        <v>45373</v>
      </c>
      <c r="E367" s="1">
        <v>45383</v>
      </c>
      <c r="F367" s="2">
        <f t="shared" si="25"/>
        <v>2</v>
      </c>
      <c r="G367" s="2" t="str">
        <f t="shared" si="26"/>
        <v>Friday</v>
      </c>
      <c r="H367" s="2" t="str">
        <f t="shared" si="27"/>
        <v>March</v>
      </c>
      <c r="I367" t="s">
        <v>14</v>
      </c>
      <c r="J367" t="s">
        <v>36</v>
      </c>
      <c r="K367" t="s">
        <v>49</v>
      </c>
      <c r="L367" t="s">
        <v>23</v>
      </c>
      <c r="M367">
        <v>658.63</v>
      </c>
      <c r="N367">
        <f t="shared" si="28"/>
        <v>10</v>
      </c>
      <c r="O367">
        <v>10</v>
      </c>
      <c r="P367" t="str">
        <f t="shared" si="29"/>
        <v>Yes</v>
      </c>
      <c r="Q367">
        <f>IF(Booking_Data[[#This Row],[Discounted Booking]]="Yes",1,0)</f>
        <v>1</v>
      </c>
      <c r="R367" t="s">
        <v>24</v>
      </c>
      <c r="S367">
        <f>IF(Booking_Data[[#This Row],[Cancellation Status]]="yes",1,0)</f>
        <v>0</v>
      </c>
    </row>
    <row r="368" spans="1:19" x14ac:dyDescent="0.35">
      <c r="A368" t="s">
        <v>755</v>
      </c>
      <c r="B368" t="s">
        <v>756</v>
      </c>
      <c r="C368" s="1">
        <v>45359</v>
      </c>
      <c r="D368" s="1">
        <v>45389</v>
      </c>
      <c r="E368" s="1">
        <v>45390</v>
      </c>
      <c r="F368" s="2">
        <f t="shared" si="25"/>
        <v>2</v>
      </c>
      <c r="G368" s="2" t="str">
        <f t="shared" si="26"/>
        <v>Friday</v>
      </c>
      <c r="H368" s="2" t="str">
        <f t="shared" si="27"/>
        <v>March</v>
      </c>
      <c r="I368" t="s">
        <v>35</v>
      </c>
      <c r="J368" t="s">
        <v>31</v>
      </c>
      <c r="K368" t="s">
        <v>58</v>
      </c>
      <c r="L368" t="s">
        <v>23</v>
      </c>
      <c r="M368">
        <v>1464.33</v>
      </c>
      <c r="N368">
        <f t="shared" si="28"/>
        <v>1</v>
      </c>
      <c r="O368">
        <v>15</v>
      </c>
      <c r="P368" t="str">
        <f t="shared" si="29"/>
        <v>Yes</v>
      </c>
      <c r="Q368">
        <f>IF(Booking_Data[[#This Row],[Discounted Booking]]="Yes",1,0)</f>
        <v>1</v>
      </c>
      <c r="R368" t="s">
        <v>24</v>
      </c>
      <c r="S368">
        <f>IF(Booking_Data[[#This Row],[Cancellation Status]]="yes",1,0)</f>
        <v>0</v>
      </c>
    </row>
    <row r="369" spans="1:19" x14ac:dyDescent="0.35">
      <c r="A369" t="s">
        <v>757</v>
      </c>
      <c r="B369" t="s">
        <v>758</v>
      </c>
      <c r="C369" s="1">
        <v>45359</v>
      </c>
      <c r="D369" s="1">
        <v>45362</v>
      </c>
      <c r="E369" s="1">
        <v>45366</v>
      </c>
      <c r="F369" s="2">
        <f t="shared" si="25"/>
        <v>2</v>
      </c>
      <c r="G369" s="2" t="str">
        <f t="shared" si="26"/>
        <v>Friday</v>
      </c>
      <c r="H369" s="2" t="str">
        <f t="shared" si="27"/>
        <v>March</v>
      </c>
      <c r="I369" t="s">
        <v>35</v>
      </c>
      <c r="J369" t="s">
        <v>21</v>
      </c>
      <c r="K369" t="s">
        <v>16</v>
      </c>
      <c r="L369" t="s">
        <v>37</v>
      </c>
      <c r="M369">
        <v>1406.38</v>
      </c>
      <c r="N369">
        <f t="shared" si="28"/>
        <v>4</v>
      </c>
      <c r="O369">
        <v>20</v>
      </c>
      <c r="P369" t="str">
        <f t="shared" si="29"/>
        <v>Yes</v>
      </c>
      <c r="Q369">
        <f>IF(Booking_Data[[#This Row],[Discounted Booking]]="Yes",1,0)</f>
        <v>1</v>
      </c>
      <c r="R369" t="s">
        <v>24</v>
      </c>
      <c r="S369">
        <f>IF(Booking_Data[[#This Row],[Cancellation Status]]="yes",1,0)</f>
        <v>0</v>
      </c>
    </row>
    <row r="370" spans="1:19" x14ac:dyDescent="0.35">
      <c r="A370" t="s">
        <v>759</v>
      </c>
      <c r="B370" t="s">
        <v>760</v>
      </c>
      <c r="C370" s="1">
        <v>45360</v>
      </c>
      <c r="D370" s="1">
        <v>45374</v>
      </c>
      <c r="E370" s="1">
        <v>45375</v>
      </c>
      <c r="F370" s="2">
        <f t="shared" si="25"/>
        <v>2</v>
      </c>
      <c r="G370" s="2" t="str">
        <f t="shared" si="26"/>
        <v>Saturday</v>
      </c>
      <c r="H370" s="2" t="str">
        <f t="shared" si="27"/>
        <v>March</v>
      </c>
      <c r="I370" t="s">
        <v>30</v>
      </c>
      <c r="J370" t="s">
        <v>15</v>
      </c>
      <c r="K370" t="s">
        <v>42</v>
      </c>
      <c r="L370" t="s">
        <v>37</v>
      </c>
      <c r="M370">
        <v>1345.61</v>
      </c>
      <c r="N370">
        <f t="shared" si="28"/>
        <v>1</v>
      </c>
      <c r="O370">
        <v>25</v>
      </c>
      <c r="P370" t="str">
        <f t="shared" si="29"/>
        <v>Yes</v>
      </c>
      <c r="Q370">
        <f>IF(Booking_Data[[#This Row],[Discounted Booking]]="Yes",1,0)</f>
        <v>1</v>
      </c>
      <c r="R370" t="s">
        <v>24</v>
      </c>
      <c r="S370">
        <f>IF(Booking_Data[[#This Row],[Cancellation Status]]="yes",1,0)</f>
        <v>0</v>
      </c>
    </row>
    <row r="371" spans="1:19" x14ac:dyDescent="0.35">
      <c r="A371" t="s">
        <v>761</v>
      </c>
      <c r="B371" t="s">
        <v>762</v>
      </c>
      <c r="C371" s="1">
        <v>45360</v>
      </c>
      <c r="D371" s="1">
        <v>45390</v>
      </c>
      <c r="E371" s="1">
        <v>45393</v>
      </c>
      <c r="F371" s="2">
        <f t="shared" si="25"/>
        <v>2</v>
      </c>
      <c r="G371" s="2" t="str">
        <f t="shared" si="26"/>
        <v>Saturday</v>
      </c>
      <c r="H371" s="2" t="str">
        <f t="shared" si="27"/>
        <v>March</v>
      </c>
      <c r="I371" t="s">
        <v>35</v>
      </c>
      <c r="J371" t="s">
        <v>31</v>
      </c>
      <c r="K371" t="s">
        <v>42</v>
      </c>
      <c r="L371" t="s">
        <v>27</v>
      </c>
      <c r="M371">
        <v>215.85</v>
      </c>
      <c r="N371">
        <f t="shared" si="28"/>
        <v>3</v>
      </c>
      <c r="O371">
        <v>0</v>
      </c>
      <c r="P371" t="str">
        <f t="shared" si="29"/>
        <v>No</v>
      </c>
      <c r="Q371">
        <f>IF(Booking_Data[[#This Row],[Discounted Booking]]="Yes",1,0)</f>
        <v>0</v>
      </c>
      <c r="R371" t="s">
        <v>24</v>
      </c>
      <c r="S371">
        <f>IF(Booking_Data[[#This Row],[Cancellation Status]]="yes",1,0)</f>
        <v>0</v>
      </c>
    </row>
    <row r="372" spans="1:19" x14ac:dyDescent="0.35">
      <c r="A372" t="s">
        <v>763</v>
      </c>
      <c r="B372" t="s">
        <v>764</v>
      </c>
      <c r="C372" s="1">
        <v>45360</v>
      </c>
      <c r="D372" s="1">
        <v>45389</v>
      </c>
      <c r="E372" s="1">
        <v>45390</v>
      </c>
      <c r="F372" s="2">
        <f t="shared" si="25"/>
        <v>2</v>
      </c>
      <c r="G372" s="2" t="str">
        <f t="shared" si="26"/>
        <v>Saturday</v>
      </c>
      <c r="H372" s="2" t="str">
        <f t="shared" si="27"/>
        <v>March</v>
      </c>
      <c r="I372" t="s">
        <v>35</v>
      </c>
      <c r="J372" t="s">
        <v>31</v>
      </c>
      <c r="K372" t="s">
        <v>49</v>
      </c>
      <c r="L372" t="s">
        <v>17</v>
      </c>
      <c r="M372">
        <v>1072.76</v>
      </c>
      <c r="N372">
        <f t="shared" si="28"/>
        <v>1</v>
      </c>
      <c r="O372">
        <v>10</v>
      </c>
      <c r="P372" t="str">
        <f t="shared" si="29"/>
        <v>Yes</v>
      </c>
      <c r="Q372">
        <f>IF(Booking_Data[[#This Row],[Discounted Booking]]="Yes",1,0)</f>
        <v>1</v>
      </c>
      <c r="R372" t="s">
        <v>18</v>
      </c>
      <c r="S372">
        <f>IF(Booking_Data[[#This Row],[Cancellation Status]]="yes",1,0)</f>
        <v>1</v>
      </c>
    </row>
    <row r="373" spans="1:19" x14ac:dyDescent="0.35">
      <c r="A373" t="s">
        <v>765</v>
      </c>
      <c r="B373" t="s">
        <v>766</v>
      </c>
      <c r="C373" s="1">
        <v>45360</v>
      </c>
      <c r="D373" s="1">
        <v>45368</v>
      </c>
      <c r="E373" s="1">
        <v>45378</v>
      </c>
      <c r="F373" s="2">
        <f t="shared" si="25"/>
        <v>2</v>
      </c>
      <c r="G373" s="2" t="str">
        <f t="shared" si="26"/>
        <v>Saturday</v>
      </c>
      <c r="H373" s="2" t="str">
        <f t="shared" si="27"/>
        <v>March</v>
      </c>
      <c r="I373" t="s">
        <v>30</v>
      </c>
      <c r="J373" t="s">
        <v>31</v>
      </c>
      <c r="K373" t="s">
        <v>58</v>
      </c>
      <c r="L373" t="s">
        <v>17</v>
      </c>
      <c r="M373">
        <v>1446.02</v>
      </c>
      <c r="N373">
        <f t="shared" si="28"/>
        <v>10</v>
      </c>
      <c r="O373">
        <v>25</v>
      </c>
      <c r="P373" t="str">
        <f t="shared" si="29"/>
        <v>Yes</v>
      </c>
      <c r="Q373">
        <f>IF(Booking_Data[[#This Row],[Discounted Booking]]="Yes",1,0)</f>
        <v>1</v>
      </c>
      <c r="R373" t="s">
        <v>24</v>
      </c>
      <c r="S373">
        <f>IF(Booking_Data[[#This Row],[Cancellation Status]]="yes",1,0)</f>
        <v>0</v>
      </c>
    </row>
    <row r="374" spans="1:19" x14ac:dyDescent="0.35">
      <c r="A374" t="s">
        <v>767</v>
      </c>
      <c r="B374" t="s">
        <v>768</v>
      </c>
      <c r="C374" s="1">
        <v>45360</v>
      </c>
      <c r="D374" s="1">
        <v>45370</v>
      </c>
      <c r="E374" s="1">
        <v>45380</v>
      </c>
      <c r="F374" s="2">
        <f t="shared" si="25"/>
        <v>2</v>
      </c>
      <c r="G374" s="2" t="str">
        <f t="shared" si="26"/>
        <v>Saturday</v>
      </c>
      <c r="H374" s="2" t="str">
        <f t="shared" si="27"/>
        <v>March</v>
      </c>
      <c r="I374" t="s">
        <v>30</v>
      </c>
      <c r="J374" t="s">
        <v>31</v>
      </c>
      <c r="K374" t="s">
        <v>42</v>
      </c>
      <c r="L374" t="s">
        <v>23</v>
      </c>
      <c r="M374">
        <v>961.74</v>
      </c>
      <c r="N374">
        <f t="shared" si="28"/>
        <v>10</v>
      </c>
      <c r="O374">
        <v>10</v>
      </c>
      <c r="P374" t="str">
        <f t="shared" si="29"/>
        <v>Yes</v>
      </c>
      <c r="Q374">
        <f>IF(Booking_Data[[#This Row],[Discounted Booking]]="Yes",1,0)</f>
        <v>1</v>
      </c>
      <c r="R374" t="s">
        <v>18</v>
      </c>
      <c r="S374">
        <f>IF(Booking_Data[[#This Row],[Cancellation Status]]="yes",1,0)</f>
        <v>1</v>
      </c>
    </row>
    <row r="375" spans="1:19" x14ac:dyDescent="0.35">
      <c r="A375" t="s">
        <v>769</v>
      </c>
      <c r="B375" t="s">
        <v>770</v>
      </c>
      <c r="C375" s="1">
        <v>45360</v>
      </c>
      <c r="D375" s="1">
        <v>45376</v>
      </c>
      <c r="E375" s="1">
        <v>45386</v>
      </c>
      <c r="F375" s="2">
        <f t="shared" si="25"/>
        <v>2</v>
      </c>
      <c r="G375" s="2" t="str">
        <f t="shared" si="26"/>
        <v>Saturday</v>
      </c>
      <c r="H375" s="2" t="str">
        <f t="shared" si="27"/>
        <v>March</v>
      </c>
      <c r="I375" t="s">
        <v>30</v>
      </c>
      <c r="J375" t="s">
        <v>36</v>
      </c>
      <c r="K375" t="s">
        <v>32</v>
      </c>
      <c r="L375" t="s">
        <v>27</v>
      </c>
      <c r="M375">
        <v>1250.98</v>
      </c>
      <c r="N375">
        <f t="shared" si="28"/>
        <v>10</v>
      </c>
      <c r="O375">
        <v>5</v>
      </c>
      <c r="P375" t="str">
        <f t="shared" si="29"/>
        <v>Yes</v>
      </c>
      <c r="Q375">
        <f>IF(Booking_Data[[#This Row],[Discounted Booking]]="Yes",1,0)</f>
        <v>1</v>
      </c>
      <c r="R375" t="s">
        <v>24</v>
      </c>
      <c r="S375">
        <f>IF(Booking_Data[[#This Row],[Cancellation Status]]="yes",1,0)</f>
        <v>0</v>
      </c>
    </row>
    <row r="376" spans="1:19" x14ac:dyDescent="0.35">
      <c r="A376" t="s">
        <v>771</v>
      </c>
      <c r="B376" t="s">
        <v>772</v>
      </c>
      <c r="C376" s="1">
        <v>45360</v>
      </c>
      <c r="D376" s="1">
        <v>45371</v>
      </c>
      <c r="E376" s="1">
        <v>45375</v>
      </c>
      <c r="F376" s="2">
        <f t="shared" si="25"/>
        <v>2</v>
      </c>
      <c r="G376" s="2" t="str">
        <f t="shared" si="26"/>
        <v>Saturday</v>
      </c>
      <c r="H376" s="2" t="str">
        <f t="shared" si="27"/>
        <v>March</v>
      </c>
      <c r="I376" t="s">
        <v>30</v>
      </c>
      <c r="J376" t="s">
        <v>21</v>
      </c>
      <c r="K376" t="s">
        <v>16</v>
      </c>
      <c r="L376" t="s">
        <v>17</v>
      </c>
      <c r="M376">
        <v>893.71</v>
      </c>
      <c r="N376">
        <f t="shared" si="28"/>
        <v>4</v>
      </c>
      <c r="O376">
        <v>5</v>
      </c>
      <c r="P376" t="str">
        <f t="shared" si="29"/>
        <v>Yes</v>
      </c>
      <c r="Q376">
        <f>IF(Booking_Data[[#This Row],[Discounted Booking]]="Yes",1,0)</f>
        <v>1</v>
      </c>
      <c r="R376" t="s">
        <v>18</v>
      </c>
      <c r="S376">
        <f>IF(Booking_Data[[#This Row],[Cancellation Status]]="yes",1,0)</f>
        <v>1</v>
      </c>
    </row>
    <row r="377" spans="1:19" x14ac:dyDescent="0.35">
      <c r="A377" t="s">
        <v>773</v>
      </c>
      <c r="B377" t="s">
        <v>774</v>
      </c>
      <c r="C377" s="1">
        <v>45361</v>
      </c>
      <c r="D377" s="1">
        <v>45363</v>
      </c>
      <c r="E377" s="1">
        <v>45368</v>
      </c>
      <c r="F377" s="2">
        <f t="shared" si="25"/>
        <v>3</v>
      </c>
      <c r="G377" s="2" t="str">
        <f t="shared" si="26"/>
        <v>Sunday</v>
      </c>
      <c r="H377" s="2" t="str">
        <f t="shared" si="27"/>
        <v>March</v>
      </c>
      <c r="I377" t="s">
        <v>14</v>
      </c>
      <c r="J377" t="s">
        <v>31</v>
      </c>
      <c r="K377" t="s">
        <v>58</v>
      </c>
      <c r="L377" t="s">
        <v>37</v>
      </c>
      <c r="M377">
        <v>301.74</v>
      </c>
      <c r="N377">
        <f t="shared" si="28"/>
        <v>5</v>
      </c>
      <c r="O377">
        <v>20</v>
      </c>
      <c r="P377" t="str">
        <f t="shared" si="29"/>
        <v>Yes</v>
      </c>
      <c r="Q377">
        <f>IF(Booking_Data[[#This Row],[Discounted Booking]]="Yes",1,0)</f>
        <v>1</v>
      </c>
      <c r="R377" t="s">
        <v>24</v>
      </c>
      <c r="S377">
        <f>IF(Booking_Data[[#This Row],[Cancellation Status]]="yes",1,0)</f>
        <v>0</v>
      </c>
    </row>
    <row r="378" spans="1:19" x14ac:dyDescent="0.35">
      <c r="A378" t="s">
        <v>775</v>
      </c>
      <c r="B378" t="s">
        <v>776</v>
      </c>
      <c r="C378" s="1">
        <v>45361</v>
      </c>
      <c r="D378" s="1">
        <v>45383</v>
      </c>
      <c r="E378" s="1">
        <v>45389</v>
      </c>
      <c r="F378" s="2">
        <f t="shared" si="25"/>
        <v>3</v>
      </c>
      <c r="G378" s="2" t="str">
        <f t="shared" si="26"/>
        <v>Sunday</v>
      </c>
      <c r="H378" s="2" t="str">
        <f t="shared" si="27"/>
        <v>March</v>
      </c>
      <c r="I378" t="s">
        <v>30</v>
      </c>
      <c r="J378" t="s">
        <v>31</v>
      </c>
      <c r="K378" t="s">
        <v>58</v>
      </c>
      <c r="L378" t="s">
        <v>17</v>
      </c>
      <c r="M378">
        <v>418.43</v>
      </c>
      <c r="N378">
        <f t="shared" si="28"/>
        <v>6</v>
      </c>
      <c r="O378">
        <v>10</v>
      </c>
      <c r="P378" t="str">
        <f t="shared" si="29"/>
        <v>Yes</v>
      </c>
      <c r="Q378">
        <f>IF(Booking_Data[[#This Row],[Discounted Booking]]="Yes",1,0)</f>
        <v>1</v>
      </c>
      <c r="R378" t="s">
        <v>18</v>
      </c>
      <c r="S378">
        <f>IF(Booking_Data[[#This Row],[Cancellation Status]]="yes",1,0)</f>
        <v>1</v>
      </c>
    </row>
    <row r="379" spans="1:19" x14ac:dyDescent="0.35">
      <c r="A379" t="s">
        <v>777</v>
      </c>
      <c r="B379" t="s">
        <v>778</v>
      </c>
      <c r="C379" s="1">
        <v>45361</v>
      </c>
      <c r="D379" s="1">
        <v>45365</v>
      </c>
      <c r="E379" s="1">
        <v>45371</v>
      </c>
      <c r="F379" s="2">
        <f t="shared" si="25"/>
        <v>3</v>
      </c>
      <c r="G379" s="2" t="str">
        <f t="shared" si="26"/>
        <v>Sunday</v>
      </c>
      <c r="H379" s="2" t="str">
        <f t="shared" si="27"/>
        <v>March</v>
      </c>
      <c r="I379" t="s">
        <v>14</v>
      </c>
      <c r="J379" t="s">
        <v>15</v>
      </c>
      <c r="K379" t="s">
        <v>58</v>
      </c>
      <c r="L379" t="s">
        <v>17</v>
      </c>
      <c r="M379">
        <v>836.99</v>
      </c>
      <c r="N379">
        <f t="shared" si="28"/>
        <v>6</v>
      </c>
      <c r="O379">
        <v>15</v>
      </c>
      <c r="P379" t="str">
        <f t="shared" si="29"/>
        <v>Yes</v>
      </c>
      <c r="Q379">
        <f>IF(Booking_Data[[#This Row],[Discounted Booking]]="Yes",1,0)</f>
        <v>1</v>
      </c>
      <c r="R379" t="s">
        <v>24</v>
      </c>
      <c r="S379">
        <f>IF(Booking_Data[[#This Row],[Cancellation Status]]="yes",1,0)</f>
        <v>0</v>
      </c>
    </row>
    <row r="380" spans="1:19" x14ac:dyDescent="0.35">
      <c r="A380" t="s">
        <v>779</v>
      </c>
      <c r="B380" t="s">
        <v>780</v>
      </c>
      <c r="C380" s="1">
        <v>45362</v>
      </c>
      <c r="D380" s="1">
        <v>45374</v>
      </c>
      <c r="E380" s="1">
        <v>45376</v>
      </c>
      <c r="F380" s="2">
        <f t="shared" si="25"/>
        <v>3</v>
      </c>
      <c r="G380" s="2" t="str">
        <f t="shared" si="26"/>
        <v>Monday</v>
      </c>
      <c r="H380" s="2" t="str">
        <f t="shared" si="27"/>
        <v>March</v>
      </c>
      <c r="I380" t="s">
        <v>30</v>
      </c>
      <c r="J380" t="s">
        <v>15</v>
      </c>
      <c r="K380" t="s">
        <v>42</v>
      </c>
      <c r="L380" t="s">
        <v>27</v>
      </c>
      <c r="M380">
        <v>1230.72</v>
      </c>
      <c r="N380">
        <f t="shared" si="28"/>
        <v>2</v>
      </c>
      <c r="O380">
        <v>0</v>
      </c>
      <c r="P380" t="str">
        <f t="shared" si="29"/>
        <v>No</v>
      </c>
      <c r="Q380">
        <f>IF(Booking_Data[[#This Row],[Discounted Booking]]="Yes",1,0)</f>
        <v>0</v>
      </c>
      <c r="R380" t="s">
        <v>18</v>
      </c>
      <c r="S380">
        <f>IF(Booking_Data[[#This Row],[Cancellation Status]]="yes",1,0)</f>
        <v>1</v>
      </c>
    </row>
    <row r="381" spans="1:19" x14ac:dyDescent="0.35">
      <c r="A381" t="s">
        <v>781</v>
      </c>
      <c r="B381" t="s">
        <v>782</v>
      </c>
      <c r="C381" s="1">
        <v>45362</v>
      </c>
      <c r="D381" s="1">
        <v>45375</v>
      </c>
      <c r="E381" s="1">
        <v>45383</v>
      </c>
      <c r="F381" s="2">
        <f t="shared" si="25"/>
        <v>3</v>
      </c>
      <c r="G381" s="2" t="str">
        <f t="shared" si="26"/>
        <v>Monday</v>
      </c>
      <c r="H381" s="2" t="str">
        <f t="shared" si="27"/>
        <v>March</v>
      </c>
      <c r="I381" t="s">
        <v>35</v>
      </c>
      <c r="J381" t="s">
        <v>31</v>
      </c>
      <c r="K381" t="s">
        <v>42</v>
      </c>
      <c r="L381" t="s">
        <v>23</v>
      </c>
      <c r="M381">
        <v>227.88</v>
      </c>
      <c r="N381">
        <f t="shared" si="28"/>
        <v>8</v>
      </c>
      <c r="O381">
        <v>0</v>
      </c>
      <c r="P381" t="str">
        <f t="shared" si="29"/>
        <v>No</v>
      </c>
      <c r="Q381">
        <f>IF(Booking_Data[[#This Row],[Discounted Booking]]="Yes",1,0)</f>
        <v>0</v>
      </c>
      <c r="R381" t="s">
        <v>18</v>
      </c>
      <c r="S381">
        <f>IF(Booking_Data[[#This Row],[Cancellation Status]]="yes",1,0)</f>
        <v>1</v>
      </c>
    </row>
    <row r="382" spans="1:19" x14ac:dyDescent="0.35">
      <c r="A382" t="s">
        <v>783</v>
      </c>
      <c r="B382" t="s">
        <v>784</v>
      </c>
      <c r="C382" s="1">
        <v>45362</v>
      </c>
      <c r="D382" s="1">
        <v>45384</v>
      </c>
      <c r="E382" s="1">
        <v>45391</v>
      </c>
      <c r="F382" s="2">
        <f t="shared" si="25"/>
        <v>3</v>
      </c>
      <c r="G382" s="2" t="str">
        <f t="shared" si="26"/>
        <v>Monday</v>
      </c>
      <c r="H382" s="2" t="str">
        <f t="shared" si="27"/>
        <v>March</v>
      </c>
      <c r="I382" t="s">
        <v>14</v>
      </c>
      <c r="J382" t="s">
        <v>21</v>
      </c>
      <c r="K382" t="s">
        <v>49</v>
      </c>
      <c r="L382" t="s">
        <v>37</v>
      </c>
      <c r="M382">
        <v>164.44</v>
      </c>
      <c r="N382">
        <f t="shared" si="28"/>
        <v>7</v>
      </c>
      <c r="O382">
        <v>25</v>
      </c>
      <c r="P382" t="str">
        <f t="shared" si="29"/>
        <v>Yes</v>
      </c>
      <c r="Q382">
        <f>IF(Booking_Data[[#This Row],[Discounted Booking]]="Yes",1,0)</f>
        <v>1</v>
      </c>
      <c r="R382" t="s">
        <v>24</v>
      </c>
      <c r="S382">
        <f>IF(Booking_Data[[#This Row],[Cancellation Status]]="yes",1,0)</f>
        <v>0</v>
      </c>
    </row>
    <row r="383" spans="1:19" x14ac:dyDescent="0.35">
      <c r="A383" t="s">
        <v>785</v>
      </c>
      <c r="B383" t="s">
        <v>786</v>
      </c>
      <c r="C383" s="1">
        <v>45362</v>
      </c>
      <c r="D383" s="1">
        <v>45364</v>
      </c>
      <c r="E383" s="1">
        <v>45374</v>
      </c>
      <c r="F383" s="2">
        <f t="shared" si="25"/>
        <v>3</v>
      </c>
      <c r="G383" s="2" t="str">
        <f t="shared" si="26"/>
        <v>Monday</v>
      </c>
      <c r="H383" s="2" t="str">
        <f t="shared" si="27"/>
        <v>March</v>
      </c>
      <c r="I383" t="s">
        <v>14</v>
      </c>
      <c r="J383" t="s">
        <v>21</v>
      </c>
      <c r="K383" t="s">
        <v>32</v>
      </c>
      <c r="L383" t="s">
        <v>27</v>
      </c>
      <c r="M383">
        <v>352.45</v>
      </c>
      <c r="N383">
        <f t="shared" si="28"/>
        <v>10</v>
      </c>
      <c r="O383">
        <v>15</v>
      </c>
      <c r="P383" t="str">
        <f t="shared" si="29"/>
        <v>Yes</v>
      </c>
      <c r="Q383">
        <f>IF(Booking_Data[[#This Row],[Discounted Booking]]="Yes",1,0)</f>
        <v>1</v>
      </c>
      <c r="R383" t="s">
        <v>24</v>
      </c>
      <c r="S383">
        <f>IF(Booking_Data[[#This Row],[Cancellation Status]]="yes",1,0)</f>
        <v>0</v>
      </c>
    </row>
    <row r="384" spans="1:19" x14ac:dyDescent="0.35">
      <c r="A384" t="s">
        <v>787</v>
      </c>
      <c r="B384" t="s">
        <v>788</v>
      </c>
      <c r="C384" s="1">
        <v>45362</v>
      </c>
      <c r="D384" s="1">
        <v>45384</v>
      </c>
      <c r="E384" s="1">
        <v>45387</v>
      </c>
      <c r="F384" s="2">
        <f t="shared" si="25"/>
        <v>3</v>
      </c>
      <c r="G384" s="2" t="str">
        <f t="shared" si="26"/>
        <v>Monday</v>
      </c>
      <c r="H384" s="2" t="str">
        <f t="shared" si="27"/>
        <v>March</v>
      </c>
      <c r="I384" t="s">
        <v>30</v>
      </c>
      <c r="J384" t="s">
        <v>15</v>
      </c>
      <c r="K384" t="s">
        <v>16</v>
      </c>
      <c r="L384" t="s">
        <v>17</v>
      </c>
      <c r="M384">
        <v>1129.99</v>
      </c>
      <c r="N384">
        <f t="shared" si="28"/>
        <v>3</v>
      </c>
      <c r="O384">
        <v>10</v>
      </c>
      <c r="P384" t="str">
        <f t="shared" si="29"/>
        <v>Yes</v>
      </c>
      <c r="Q384">
        <f>IF(Booking_Data[[#This Row],[Discounted Booking]]="Yes",1,0)</f>
        <v>1</v>
      </c>
      <c r="R384" t="s">
        <v>18</v>
      </c>
      <c r="S384">
        <f>IF(Booking_Data[[#This Row],[Cancellation Status]]="yes",1,0)</f>
        <v>1</v>
      </c>
    </row>
    <row r="385" spans="1:19" x14ac:dyDescent="0.35">
      <c r="A385" t="s">
        <v>789</v>
      </c>
      <c r="B385" t="s">
        <v>790</v>
      </c>
      <c r="C385" s="1">
        <v>45362</v>
      </c>
      <c r="D385" s="1">
        <v>45374</v>
      </c>
      <c r="E385" s="1">
        <v>45377</v>
      </c>
      <c r="F385" s="2">
        <f t="shared" si="25"/>
        <v>3</v>
      </c>
      <c r="G385" s="2" t="str">
        <f t="shared" si="26"/>
        <v>Monday</v>
      </c>
      <c r="H385" s="2" t="str">
        <f t="shared" si="27"/>
        <v>March</v>
      </c>
      <c r="I385" t="s">
        <v>30</v>
      </c>
      <c r="J385" t="s">
        <v>31</v>
      </c>
      <c r="K385" t="s">
        <v>32</v>
      </c>
      <c r="L385" t="s">
        <v>17</v>
      </c>
      <c r="M385">
        <v>202.87</v>
      </c>
      <c r="N385">
        <f t="shared" si="28"/>
        <v>3</v>
      </c>
      <c r="O385">
        <v>25</v>
      </c>
      <c r="P385" t="str">
        <f t="shared" si="29"/>
        <v>Yes</v>
      </c>
      <c r="Q385">
        <f>IF(Booking_Data[[#This Row],[Discounted Booking]]="Yes",1,0)</f>
        <v>1</v>
      </c>
      <c r="R385" t="s">
        <v>24</v>
      </c>
      <c r="S385">
        <f>IF(Booking_Data[[#This Row],[Cancellation Status]]="yes",1,0)</f>
        <v>0</v>
      </c>
    </row>
    <row r="386" spans="1:19" x14ac:dyDescent="0.35">
      <c r="A386" t="s">
        <v>791</v>
      </c>
      <c r="B386" t="s">
        <v>792</v>
      </c>
      <c r="C386" s="1">
        <v>45363</v>
      </c>
      <c r="D386" s="1">
        <v>45380</v>
      </c>
      <c r="E386" s="1">
        <v>45386</v>
      </c>
      <c r="F386" s="2">
        <f t="shared" ref="F386:F449" si="30">WEEKNUM(C386) - WEEKNUM(DATE(YEAR(C386), MONTH(C386), 1)) + 1</f>
        <v>3</v>
      </c>
      <c r="G386" s="2" t="str">
        <f t="shared" ref="G386:G449" si="31">TEXT(C386,"dddd")</f>
        <v>Tuesday</v>
      </c>
      <c r="H386" s="2" t="str">
        <f t="shared" ref="H386:H449" si="32">TEXT(C386, "mmmm")</f>
        <v>March</v>
      </c>
      <c r="I386" t="s">
        <v>35</v>
      </c>
      <c r="J386" t="s">
        <v>36</v>
      </c>
      <c r="K386" t="s">
        <v>22</v>
      </c>
      <c r="L386" t="s">
        <v>37</v>
      </c>
      <c r="M386">
        <v>599.59</v>
      </c>
      <c r="N386">
        <f t="shared" ref="N386:N449" si="33">_xlfn.DAYS(E386,D386)</f>
        <v>6</v>
      </c>
      <c r="O386">
        <v>25</v>
      </c>
      <c r="P386" t="str">
        <f t="shared" si="29"/>
        <v>Yes</v>
      </c>
      <c r="Q386">
        <f>IF(Booking_Data[[#This Row],[Discounted Booking]]="Yes",1,0)</f>
        <v>1</v>
      </c>
      <c r="R386" t="s">
        <v>24</v>
      </c>
      <c r="S386">
        <f>IF(Booking_Data[[#This Row],[Cancellation Status]]="yes",1,0)</f>
        <v>0</v>
      </c>
    </row>
    <row r="387" spans="1:19" x14ac:dyDescent="0.35">
      <c r="A387" t="s">
        <v>793</v>
      </c>
      <c r="B387" t="s">
        <v>794</v>
      </c>
      <c r="C387" s="1">
        <v>45363</v>
      </c>
      <c r="D387" s="1">
        <v>45373</v>
      </c>
      <c r="E387" s="1">
        <v>45379</v>
      </c>
      <c r="F387" s="2">
        <f t="shared" si="30"/>
        <v>3</v>
      </c>
      <c r="G387" s="2" t="str">
        <f t="shared" si="31"/>
        <v>Tuesday</v>
      </c>
      <c r="H387" s="2" t="str">
        <f t="shared" si="32"/>
        <v>March</v>
      </c>
      <c r="I387" t="s">
        <v>30</v>
      </c>
      <c r="J387" t="s">
        <v>15</v>
      </c>
      <c r="K387" t="s">
        <v>42</v>
      </c>
      <c r="L387" t="s">
        <v>17</v>
      </c>
      <c r="M387">
        <v>1301.18</v>
      </c>
      <c r="N387">
        <f t="shared" si="33"/>
        <v>6</v>
      </c>
      <c r="O387">
        <v>15</v>
      </c>
      <c r="P387" t="str">
        <f t="shared" ref="P387:P450" si="34">IF(O387&gt;0, "Yes","No")</f>
        <v>Yes</v>
      </c>
      <c r="Q387">
        <f>IF(Booking_Data[[#This Row],[Discounted Booking]]="Yes",1,0)</f>
        <v>1</v>
      </c>
      <c r="R387" t="s">
        <v>24</v>
      </c>
      <c r="S387">
        <f>IF(Booking_Data[[#This Row],[Cancellation Status]]="yes",1,0)</f>
        <v>0</v>
      </c>
    </row>
    <row r="388" spans="1:19" x14ac:dyDescent="0.35">
      <c r="A388" t="s">
        <v>795</v>
      </c>
      <c r="B388" t="s">
        <v>796</v>
      </c>
      <c r="C388" s="1">
        <v>45363</v>
      </c>
      <c r="D388" s="1">
        <v>45370</v>
      </c>
      <c r="E388" s="1">
        <v>45377</v>
      </c>
      <c r="F388" s="2">
        <f t="shared" si="30"/>
        <v>3</v>
      </c>
      <c r="G388" s="2" t="str">
        <f t="shared" si="31"/>
        <v>Tuesday</v>
      </c>
      <c r="H388" s="2" t="str">
        <f t="shared" si="32"/>
        <v>March</v>
      </c>
      <c r="I388" t="s">
        <v>30</v>
      </c>
      <c r="J388" t="s">
        <v>31</v>
      </c>
      <c r="K388" t="s">
        <v>32</v>
      </c>
      <c r="L388" t="s">
        <v>27</v>
      </c>
      <c r="M388">
        <v>1236.6099999999999</v>
      </c>
      <c r="N388">
        <f t="shared" si="33"/>
        <v>7</v>
      </c>
      <c r="O388">
        <v>20</v>
      </c>
      <c r="P388" t="str">
        <f t="shared" si="34"/>
        <v>Yes</v>
      </c>
      <c r="Q388">
        <f>IF(Booking_Data[[#This Row],[Discounted Booking]]="Yes",1,0)</f>
        <v>1</v>
      </c>
      <c r="R388" t="s">
        <v>24</v>
      </c>
      <c r="S388">
        <f>IF(Booking_Data[[#This Row],[Cancellation Status]]="yes",1,0)</f>
        <v>0</v>
      </c>
    </row>
    <row r="389" spans="1:19" x14ac:dyDescent="0.35">
      <c r="A389" t="s">
        <v>797</v>
      </c>
      <c r="B389" t="s">
        <v>798</v>
      </c>
      <c r="C389" s="1">
        <v>45363</v>
      </c>
      <c r="D389" s="1">
        <v>45392</v>
      </c>
      <c r="E389" s="1">
        <v>45396</v>
      </c>
      <c r="F389" s="2">
        <f t="shared" si="30"/>
        <v>3</v>
      </c>
      <c r="G389" s="2" t="str">
        <f t="shared" si="31"/>
        <v>Tuesday</v>
      </c>
      <c r="H389" s="2" t="str">
        <f t="shared" si="32"/>
        <v>March</v>
      </c>
      <c r="I389" t="s">
        <v>30</v>
      </c>
      <c r="J389" t="s">
        <v>15</v>
      </c>
      <c r="K389" t="s">
        <v>58</v>
      </c>
      <c r="L389" t="s">
        <v>27</v>
      </c>
      <c r="M389">
        <v>952.16</v>
      </c>
      <c r="N389">
        <f t="shared" si="33"/>
        <v>4</v>
      </c>
      <c r="O389">
        <v>15</v>
      </c>
      <c r="P389" t="str">
        <f t="shared" si="34"/>
        <v>Yes</v>
      </c>
      <c r="Q389">
        <f>IF(Booking_Data[[#This Row],[Discounted Booking]]="Yes",1,0)</f>
        <v>1</v>
      </c>
      <c r="R389" t="s">
        <v>24</v>
      </c>
      <c r="S389">
        <f>IF(Booking_Data[[#This Row],[Cancellation Status]]="yes",1,0)</f>
        <v>0</v>
      </c>
    </row>
    <row r="390" spans="1:19" x14ac:dyDescent="0.35">
      <c r="A390" t="s">
        <v>799</v>
      </c>
      <c r="B390" t="s">
        <v>800</v>
      </c>
      <c r="C390" s="1">
        <v>45363</v>
      </c>
      <c r="D390" s="1">
        <v>45385</v>
      </c>
      <c r="E390" s="1">
        <v>45391</v>
      </c>
      <c r="F390" s="2">
        <f t="shared" si="30"/>
        <v>3</v>
      </c>
      <c r="G390" s="2" t="str">
        <f t="shared" si="31"/>
        <v>Tuesday</v>
      </c>
      <c r="H390" s="2" t="str">
        <f t="shared" si="32"/>
        <v>March</v>
      </c>
      <c r="I390" t="s">
        <v>14</v>
      </c>
      <c r="J390" t="s">
        <v>36</v>
      </c>
      <c r="K390" t="s">
        <v>42</v>
      </c>
      <c r="L390" t="s">
        <v>27</v>
      </c>
      <c r="M390">
        <v>660.24</v>
      </c>
      <c r="N390">
        <f t="shared" si="33"/>
        <v>6</v>
      </c>
      <c r="O390">
        <v>20</v>
      </c>
      <c r="P390" t="str">
        <f t="shared" si="34"/>
        <v>Yes</v>
      </c>
      <c r="Q390">
        <f>IF(Booking_Data[[#This Row],[Discounted Booking]]="Yes",1,0)</f>
        <v>1</v>
      </c>
      <c r="R390" t="s">
        <v>18</v>
      </c>
      <c r="S390">
        <f>IF(Booking_Data[[#This Row],[Cancellation Status]]="yes",1,0)</f>
        <v>1</v>
      </c>
    </row>
    <row r="391" spans="1:19" x14ac:dyDescent="0.35">
      <c r="A391" t="s">
        <v>801</v>
      </c>
      <c r="B391" t="s">
        <v>802</v>
      </c>
      <c r="C391" s="1">
        <v>45363</v>
      </c>
      <c r="D391" s="1">
        <v>45392</v>
      </c>
      <c r="E391" s="1">
        <v>45400</v>
      </c>
      <c r="F391" s="2">
        <f t="shared" si="30"/>
        <v>3</v>
      </c>
      <c r="G391" s="2" t="str">
        <f t="shared" si="31"/>
        <v>Tuesday</v>
      </c>
      <c r="H391" s="2" t="str">
        <f t="shared" si="32"/>
        <v>March</v>
      </c>
      <c r="I391" t="s">
        <v>35</v>
      </c>
      <c r="J391" t="s">
        <v>15</v>
      </c>
      <c r="K391" t="s">
        <v>22</v>
      </c>
      <c r="L391" t="s">
        <v>27</v>
      </c>
      <c r="M391">
        <v>1487.41</v>
      </c>
      <c r="N391">
        <f t="shared" si="33"/>
        <v>8</v>
      </c>
      <c r="O391">
        <v>25</v>
      </c>
      <c r="P391" t="str">
        <f t="shared" si="34"/>
        <v>Yes</v>
      </c>
      <c r="Q391">
        <f>IF(Booking_Data[[#This Row],[Discounted Booking]]="Yes",1,0)</f>
        <v>1</v>
      </c>
      <c r="R391" t="s">
        <v>18</v>
      </c>
      <c r="S391">
        <f>IF(Booking_Data[[#This Row],[Cancellation Status]]="yes",1,0)</f>
        <v>1</v>
      </c>
    </row>
    <row r="392" spans="1:19" x14ac:dyDescent="0.35">
      <c r="A392" t="s">
        <v>803</v>
      </c>
      <c r="B392" t="s">
        <v>70</v>
      </c>
      <c r="C392" s="1">
        <v>45363</v>
      </c>
      <c r="D392" s="1">
        <v>45365</v>
      </c>
      <c r="E392" s="1">
        <v>45372</v>
      </c>
      <c r="F392" s="2">
        <f t="shared" si="30"/>
        <v>3</v>
      </c>
      <c r="G392" s="2" t="str">
        <f t="shared" si="31"/>
        <v>Tuesday</v>
      </c>
      <c r="H392" s="2" t="str">
        <f t="shared" si="32"/>
        <v>March</v>
      </c>
      <c r="I392" t="s">
        <v>14</v>
      </c>
      <c r="J392" t="s">
        <v>15</v>
      </c>
      <c r="K392" t="s">
        <v>32</v>
      </c>
      <c r="L392" t="s">
        <v>23</v>
      </c>
      <c r="M392">
        <v>604.79999999999995</v>
      </c>
      <c r="N392">
        <f t="shared" si="33"/>
        <v>7</v>
      </c>
      <c r="O392">
        <v>20</v>
      </c>
      <c r="P392" t="str">
        <f t="shared" si="34"/>
        <v>Yes</v>
      </c>
      <c r="Q392">
        <f>IF(Booking_Data[[#This Row],[Discounted Booking]]="Yes",1,0)</f>
        <v>1</v>
      </c>
      <c r="R392" t="s">
        <v>18</v>
      </c>
      <c r="S392">
        <f>IF(Booking_Data[[#This Row],[Cancellation Status]]="yes",1,0)</f>
        <v>1</v>
      </c>
    </row>
    <row r="393" spans="1:19" x14ac:dyDescent="0.35">
      <c r="A393" t="s">
        <v>804</v>
      </c>
      <c r="B393" t="s">
        <v>805</v>
      </c>
      <c r="C393" s="1">
        <v>45363</v>
      </c>
      <c r="D393" s="1">
        <v>45390</v>
      </c>
      <c r="E393" s="1">
        <v>45391</v>
      </c>
      <c r="F393" s="2">
        <f t="shared" si="30"/>
        <v>3</v>
      </c>
      <c r="G393" s="2" t="str">
        <f t="shared" si="31"/>
        <v>Tuesday</v>
      </c>
      <c r="H393" s="2" t="str">
        <f t="shared" si="32"/>
        <v>March</v>
      </c>
      <c r="I393" t="s">
        <v>35</v>
      </c>
      <c r="J393" t="s">
        <v>31</v>
      </c>
      <c r="K393" t="s">
        <v>22</v>
      </c>
      <c r="L393" t="s">
        <v>37</v>
      </c>
      <c r="M393">
        <v>656.87</v>
      </c>
      <c r="N393">
        <f t="shared" si="33"/>
        <v>1</v>
      </c>
      <c r="O393">
        <v>10</v>
      </c>
      <c r="P393" t="str">
        <f t="shared" si="34"/>
        <v>Yes</v>
      </c>
      <c r="Q393">
        <f>IF(Booking_Data[[#This Row],[Discounted Booking]]="Yes",1,0)</f>
        <v>1</v>
      </c>
      <c r="R393" t="s">
        <v>18</v>
      </c>
      <c r="S393">
        <f>IF(Booking_Data[[#This Row],[Cancellation Status]]="yes",1,0)</f>
        <v>1</v>
      </c>
    </row>
    <row r="394" spans="1:19" x14ac:dyDescent="0.35">
      <c r="A394" t="s">
        <v>806</v>
      </c>
      <c r="B394" t="s">
        <v>807</v>
      </c>
      <c r="C394" s="1">
        <v>45364</v>
      </c>
      <c r="D394" s="1">
        <v>45387</v>
      </c>
      <c r="E394" s="1">
        <v>45396</v>
      </c>
      <c r="F394" s="2">
        <f t="shared" si="30"/>
        <v>3</v>
      </c>
      <c r="G394" s="2" t="str">
        <f t="shared" si="31"/>
        <v>Wednesday</v>
      </c>
      <c r="H394" s="2" t="str">
        <f t="shared" si="32"/>
        <v>March</v>
      </c>
      <c r="I394" t="s">
        <v>14</v>
      </c>
      <c r="J394" t="s">
        <v>21</v>
      </c>
      <c r="K394" t="s">
        <v>49</v>
      </c>
      <c r="L394" t="s">
        <v>37</v>
      </c>
      <c r="M394">
        <v>1264.22</v>
      </c>
      <c r="N394">
        <f t="shared" si="33"/>
        <v>9</v>
      </c>
      <c r="O394">
        <v>0</v>
      </c>
      <c r="P394" t="str">
        <f t="shared" si="34"/>
        <v>No</v>
      </c>
      <c r="Q394">
        <f>IF(Booking_Data[[#This Row],[Discounted Booking]]="Yes",1,0)</f>
        <v>0</v>
      </c>
      <c r="R394" t="s">
        <v>24</v>
      </c>
      <c r="S394">
        <f>IF(Booking_Data[[#This Row],[Cancellation Status]]="yes",1,0)</f>
        <v>0</v>
      </c>
    </row>
    <row r="395" spans="1:19" x14ac:dyDescent="0.35">
      <c r="A395" t="s">
        <v>808</v>
      </c>
      <c r="B395" t="s">
        <v>809</v>
      </c>
      <c r="C395" s="1">
        <v>45364</v>
      </c>
      <c r="D395" s="1">
        <v>45365</v>
      </c>
      <c r="E395" s="1">
        <v>45372</v>
      </c>
      <c r="F395" s="2">
        <f t="shared" si="30"/>
        <v>3</v>
      </c>
      <c r="G395" s="2" t="str">
        <f t="shared" si="31"/>
        <v>Wednesday</v>
      </c>
      <c r="H395" s="2" t="str">
        <f t="shared" si="32"/>
        <v>March</v>
      </c>
      <c r="I395" t="s">
        <v>35</v>
      </c>
      <c r="J395" t="s">
        <v>31</v>
      </c>
      <c r="K395" t="s">
        <v>58</v>
      </c>
      <c r="L395" t="s">
        <v>23</v>
      </c>
      <c r="M395">
        <v>514.91999999999996</v>
      </c>
      <c r="N395">
        <f t="shared" si="33"/>
        <v>7</v>
      </c>
      <c r="O395">
        <v>15</v>
      </c>
      <c r="P395" t="str">
        <f t="shared" si="34"/>
        <v>Yes</v>
      </c>
      <c r="Q395">
        <f>IF(Booking_Data[[#This Row],[Discounted Booking]]="Yes",1,0)</f>
        <v>1</v>
      </c>
      <c r="R395" t="s">
        <v>18</v>
      </c>
      <c r="S395">
        <f>IF(Booking_Data[[#This Row],[Cancellation Status]]="yes",1,0)</f>
        <v>1</v>
      </c>
    </row>
    <row r="396" spans="1:19" x14ac:dyDescent="0.35">
      <c r="A396" t="s">
        <v>810</v>
      </c>
      <c r="B396" t="s">
        <v>811</v>
      </c>
      <c r="C396" s="1">
        <v>45364</v>
      </c>
      <c r="D396" s="1">
        <v>45365</v>
      </c>
      <c r="E396" s="1">
        <v>45372</v>
      </c>
      <c r="F396" s="2">
        <f t="shared" si="30"/>
        <v>3</v>
      </c>
      <c r="G396" s="2" t="str">
        <f t="shared" si="31"/>
        <v>Wednesday</v>
      </c>
      <c r="H396" s="2" t="str">
        <f t="shared" si="32"/>
        <v>March</v>
      </c>
      <c r="I396" t="s">
        <v>14</v>
      </c>
      <c r="J396" t="s">
        <v>31</v>
      </c>
      <c r="K396" t="s">
        <v>58</v>
      </c>
      <c r="L396" t="s">
        <v>37</v>
      </c>
      <c r="M396">
        <v>1091</v>
      </c>
      <c r="N396">
        <f t="shared" si="33"/>
        <v>7</v>
      </c>
      <c r="O396">
        <v>20</v>
      </c>
      <c r="P396" t="str">
        <f t="shared" si="34"/>
        <v>Yes</v>
      </c>
      <c r="Q396">
        <f>IF(Booking_Data[[#This Row],[Discounted Booking]]="Yes",1,0)</f>
        <v>1</v>
      </c>
      <c r="R396" t="s">
        <v>18</v>
      </c>
      <c r="S396">
        <f>IF(Booking_Data[[#This Row],[Cancellation Status]]="yes",1,0)</f>
        <v>1</v>
      </c>
    </row>
    <row r="397" spans="1:19" x14ac:dyDescent="0.35">
      <c r="A397" t="s">
        <v>812</v>
      </c>
      <c r="B397" t="s">
        <v>813</v>
      </c>
      <c r="C397" s="1">
        <v>45364</v>
      </c>
      <c r="D397" s="1">
        <v>45390</v>
      </c>
      <c r="E397" s="1">
        <v>45397</v>
      </c>
      <c r="F397" s="2">
        <f t="shared" si="30"/>
        <v>3</v>
      </c>
      <c r="G397" s="2" t="str">
        <f t="shared" si="31"/>
        <v>Wednesday</v>
      </c>
      <c r="H397" s="2" t="str">
        <f t="shared" si="32"/>
        <v>March</v>
      </c>
      <c r="I397" t="s">
        <v>14</v>
      </c>
      <c r="J397" t="s">
        <v>15</v>
      </c>
      <c r="K397" t="s">
        <v>22</v>
      </c>
      <c r="L397" t="s">
        <v>23</v>
      </c>
      <c r="M397">
        <v>696.73</v>
      </c>
      <c r="N397">
        <f t="shared" si="33"/>
        <v>7</v>
      </c>
      <c r="O397">
        <v>5</v>
      </c>
      <c r="P397" t="str">
        <f t="shared" si="34"/>
        <v>Yes</v>
      </c>
      <c r="Q397">
        <f>IF(Booking_Data[[#This Row],[Discounted Booking]]="Yes",1,0)</f>
        <v>1</v>
      </c>
      <c r="R397" t="s">
        <v>18</v>
      </c>
      <c r="S397">
        <f>IF(Booking_Data[[#This Row],[Cancellation Status]]="yes",1,0)</f>
        <v>1</v>
      </c>
    </row>
    <row r="398" spans="1:19" x14ac:dyDescent="0.35">
      <c r="A398" t="s">
        <v>814</v>
      </c>
      <c r="B398" t="s">
        <v>815</v>
      </c>
      <c r="C398" s="1">
        <v>45364</v>
      </c>
      <c r="D398" s="1">
        <v>45372</v>
      </c>
      <c r="E398" s="1">
        <v>45379</v>
      </c>
      <c r="F398" s="2">
        <f t="shared" si="30"/>
        <v>3</v>
      </c>
      <c r="G398" s="2" t="str">
        <f t="shared" si="31"/>
        <v>Wednesday</v>
      </c>
      <c r="H398" s="2" t="str">
        <f t="shared" si="32"/>
        <v>March</v>
      </c>
      <c r="I398" t="s">
        <v>35</v>
      </c>
      <c r="J398" t="s">
        <v>21</v>
      </c>
      <c r="K398" t="s">
        <v>22</v>
      </c>
      <c r="L398" t="s">
        <v>37</v>
      </c>
      <c r="M398">
        <v>283.81</v>
      </c>
      <c r="N398">
        <f t="shared" si="33"/>
        <v>7</v>
      </c>
      <c r="O398">
        <v>25</v>
      </c>
      <c r="P398" t="str">
        <f t="shared" si="34"/>
        <v>Yes</v>
      </c>
      <c r="Q398">
        <f>IF(Booking_Data[[#This Row],[Discounted Booking]]="Yes",1,0)</f>
        <v>1</v>
      </c>
      <c r="R398" t="s">
        <v>18</v>
      </c>
      <c r="S398">
        <f>IF(Booking_Data[[#This Row],[Cancellation Status]]="yes",1,0)</f>
        <v>1</v>
      </c>
    </row>
    <row r="399" spans="1:19" x14ac:dyDescent="0.35">
      <c r="A399" t="s">
        <v>816</v>
      </c>
      <c r="B399" t="s">
        <v>817</v>
      </c>
      <c r="C399" s="1">
        <v>45364</v>
      </c>
      <c r="D399" s="1">
        <v>45376</v>
      </c>
      <c r="E399" s="1">
        <v>45382</v>
      </c>
      <c r="F399" s="2">
        <f t="shared" si="30"/>
        <v>3</v>
      </c>
      <c r="G399" s="2" t="str">
        <f t="shared" si="31"/>
        <v>Wednesday</v>
      </c>
      <c r="H399" s="2" t="str">
        <f t="shared" si="32"/>
        <v>March</v>
      </c>
      <c r="I399" t="s">
        <v>30</v>
      </c>
      <c r="J399" t="s">
        <v>21</v>
      </c>
      <c r="K399" t="s">
        <v>58</v>
      </c>
      <c r="L399" t="s">
        <v>23</v>
      </c>
      <c r="M399">
        <v>416.92</v>
      </c>
      <c r="N399">
        <f t="shared" si="33"/>
        <v>6</v>
      </c>
      <c r="O399">
        <v>10</v>
      </c>
      <c r="P399" t="str">
        <f t="shared" si="34"/>
        <v>Yes</v>
      </c>
      <c r="Q399">
        <f>IF(Booking_Data[[#This Row],[Discounted Booking]]="Yes",1,0)</f>
        <v>1</v>
      </c>
      <c r="R399" t="s">
        <v>18</v>
      </c>
      <c r="S399">
        <f>IF(Booking_Data[[#This Row],[Cancellation Status]]="yes",1,0)</f>
        <v>1</v>
      </c>
    </row>
    <row r="400" spans="1:19" x14ac:dyDescent="0.35">
      <c r="A400" t="s">
        <v>818</v>
      </c>
      <c r="B400" t="s">
        <v>819</v>
      </c>
      <c r="C400" s="1">
        <v>45364</v>
      </c>
      <c r="D400" s="1">
        <v>45385</v>
      </c>
      <c r="E400" s="1">
        <v>45391</v>
      </c>
      <c r="F400" s="2">
        <f t="shared" si="30"/>
        <v>3</v>
      </c>
      <c r="G400" s="2" t="str">
        <f t="shared" si="31"/>
        <v>Wednesday</v>
      </c>
      <c r="H400" s="2" t="str">
        <f t="shared" si="32"/>
        <v>March</v>
      </c>
      <c r="I400" t="s">
        <v>35</v>
      </c>
      <c r="J400" t="s">
        <v>36</v>
      </c>
      <c r="K400" t="s">
        <v>16</v>
      </c>
      <c r="L400" t="s">
        <v>23</v>
      </c>
      <c r="M400">
        <v>1235.3599999999999</v>
      </c>
      <c r="N400">
        <f t="shared" si="33"/>
        <v>6</v>
      </c>
      <c r="O400">
        <v>15</v>
      </c>
      <c r="P400" t="str">
        <f t="shared" si="34"/>
        <v>Yes</v>
      </c>
      <c r="Q400">
        <f>IF(Booking_Data[[#This Row],[Discounted Booking]]="Yes",1,0)</f>
        <v>1</v>
      </c>
      <c r="R400" t="s">
        <v>18</v>
      </c>
      <c r="S400">
        <f>IF(Booking_Data[[#This Row],[Cancellation Status]]="yes",1,0)</f>
        <v>1</v>
      </c>
    </row>
    <row r="401" spans="1:19" x14ac:dyDescent="0.35">
      <c r="A401" t="s">
        <v>820</v>
      </c>
      <c r="B401" t="s">
        <v>821</v>
      </c>
      <c r="C401" s="1">
        <v>45365</v>
      </c>
      <c r="D401" s="1">
        <v>45388</v>
      </c>
      <c r="E401" s="1">
        <v>45398</v>
      </c>
      <c r="F401" s="2">
        <f t="shared" si="30"/>
        <v>3</v>
      </c>
      <c r="G401" s="2" t="str">
        <f t="shared" si="31"/>
        <v>Thursday</v>
      </c>
      <c r="H401" s="2" t="str">
        <f t="shared" si="32"/>
        <v>March</v>
      </c>
      <c r="I401" t="s">
        <v>30</v>
      </c>
      <c r="J401" t="s">
        <v>31</v>
      </c>
      <c r="K401" t="s">
        <v>42</v>
      </c>
      <c r="L401" t="s">
        <v>23</v>
      </c>
      <c r="M401">
        <v>1396.01</v>
      </c>
      <c r="N401">
        <f t="shared" si="33"/>
        <v>10</v>
      </c>
      <c r="O401">
        <v>10</v>
      </c>
      <c r="P401" t="str">
        <f t="shared" si="34"/>
        <v>Yes</v>
      </c>
      <c r="Q401">
        <f>IF(Booking_Data[[#This Row],[Discounted Booking]]="Yes",1,0)</f>
        <v>1</v>
      </c>
      <c r="R401" t="s">
        <v>24</v>
      </c>
      <c r="S401">
        <f>IF(Booking_Data[[#This Row],[Cancellation Status]]="yes",1,0)</f>
        <v>0</v>
      </c>
    </row>
    <row r="402" spans="1:19" x14ac:dyDescent="0.35">
      <c r="A402" t="s">
        <v>822</v>
      </c>
      <c r="B402" t="s">
        <v>823</v>
      </c>
      <c r="C402" s="1">
        <v>45365</v>
      </c>
      <c r="D402" s="1">
        <v>45385</v>
      </c>
      <c r="E402" s="1">
        <v>45390</v>
      </c>
      <c r="F402" s="2">
        <f t="shared" si="30"/>
        <v>3</v>
      </c>
      <c r="G402" s="2" t="str">
        <f t="shared" si="31"/>
        <v>Thursday</v>
      </c>
      <c r="H402" s="2" t="str">
        <f t="shared" si="32"/>
        <v>March</v>
      </c>
      <c r="I402" t="s">
        <v>14</v>
      </c>
      <c r="J402" t="s">
        <v>36</v>
      </c>
      <c r="K402" t="s">
        <v>42</v>
      </c>
      <c r="L402" t="s">
        <v>23</v>
      </c>
      <c r="M402">
        <v>1402.14</v>
      </c>
      <c r="N402">
        <f t="shared" si="33"/>
        <v>5</v>
      </c>
      <c r="O402">
        <v>25</v>
      </c>
      <c r="P402" t="str">
        <f t="shared" si="34"/>
        <v>Yes</v>
      </c>
      <c r="Q402">
        <f>IF(Booking_Data[[#This Row],[Discounted Booking]]="Yes",1,0)</f>
        <v>1</v>
      </c>
      <c r="R402" t="s">
        <v>24</v>
      </c>
      <c r="S402">
        <f>IF(Booking_Data[[#This Row],[Cancellation Status]]="yes",1,0)</f>
        <v>0</v>
      </c>
    </row>
    <row r="403" spans="1:19" x14ac:dyDescent="0.35">
      <c r="A403" t="s">
        <v>824</v>
      </c>
      <c r="B403" t="s">
        <v>825</v>
      </c>
      <c r="C403" s="1">
        <v>45365</v>
      </c>
      <c r="D403" s="1">
        <v>45367</v>
      </c>
      <c r="E403" s="1">
        <v>45373</v>
      </c>
      <c r="F403" s="2">
        <f t="shared" si="30"/>
        <v>3</v>
      </c>
      <c r="G403" s="2" t="str">
        <f t="shared" si="31"/>
        <v>Thursday</v>
      </c>
      <c r="H403" s="2" t="str">
        <f t="shared" si="32"/>
        <v>March</v>
      </c>
      <c r="I403" t="s">
        <v>14</v>
      </c>
      <c r="J403" t="s">
        <v>31</v>
      </c>
      <c r="K403" t="s">
        <v>42</v>
      </c>
      <c r="L403" t="s">
        <v>27</v>
      </c>
      <c r="M403">
        <v>723.36</v>
      </c>
      <c r="N403">
        <f t="shared" si="33"/>
        <v>6</v>
      </c>
      <c r="O403">
        <v>25</v>
      </c>
      <c r="P403" t="str">
        <f t="shared" si="34"/>
        <v>Yes</v>
      </c>
      <c r="Q403">
        <f>IF(Booking_Data[[#This Row],[Discounted Booking]]="Yes",1,0)</f>
        <v>1</v>
      </c>
      <c r="R403" t="s">
        <v>24</v>
      </c>
      <c r="S403">
        <f>IF(Booking_Data[[#This Row],[Cancellation Status]]="yes",1,0)</f>
        <v>0</v>
      </c>
    </row>
    <row r="404" spans="1:19" x14ac:dyDescent="0.35">
      <c r="A404" t="s">
        <v>826</v>
      </c>
      <c r="B404" t="s">
        <v>827</v>
      </c>
      <c r="C404" s="1">
        <v>45365</v>
      </c>
      <c r="D404" s="1">
        <v>45389</v>
      </c>
      <c r="E404" s="1">
        <v>45391</v>
      </c>
      <c r="F404" s="2">
        <f t="shared" si="30"/>
        <v>3</v>
      </c>
      <c r="G404" s="2" t="str">
        <f t="shared" si="31"/>
        <v>Thursday</v>
      </c>
      <c r="H404" s="2" t="str">
        <f t="shared" si="32"/>
        <v>March</v>
      </c>
      <c r="I404" t="s">
        <v>14</v>
      </c>
      <c r="J404" t="s">
        <v>36</v>
      </c>
      <c r="K404" t="s">
        <v>32</v>
      </c>
      <c r="L404" t="s">
        <v>23</v>
      </c>
      <c r="M404">
        <v>573.12</v>
      </c>
      <c r="N404">
        <f t="shared" si="33"/>
        <v>2</v>
      </c>
      <c r="O404">
        <v>10</v>
      </c>
      <c r="P404" t="str">
        <f t="shared" si="34"/>
        <v>Yes</v>
      </c>
      <c r="Q404">
        <f>IF(Booking_Data[[#This Row],[Discounted Booking]]="Yes",1,0)</f>
        <v>1</v>
      </c>
      <c r="R404" t="s">
        <v>18</v>
      </c>
      <c r="S404">
        <f>IF(Booking_Data[[#This Row],[Cancellation Status]]="yes",1,0)</f>
        <v>1</v>
      </c>
    </row>
    <row r="405" spans="1:19" x14ac:dyDescent="0.35">
      <c r="A405" t="s">
        <v>828</v>
      </c>
      <c r="B405" t="s">
        <v>829</v>
      </c>
      <c r="C405" s="1">
        <v>45366</v>
      </c>
      <c r="D405" s="1">
        <v>45380</v>
      </c>
      <c r="E405" s="1">
        <v>45389</v>
      </c>
      <c r="F405" s="2">
        <f t="shared" si="30"/>
        <v>3</v>
      </c>
      <c r="G405" s="2" t="str">
        <f t="shared" si="31"/>
        <v>Friday</v>
      </c>
      <c r="H405" s="2" t="str">
        <f t="shared" si="32"/>
        <v>March</v>
      </c>
      <c r="I405" t="s">
        <v>35</v>
      </c>
      <c r="J405" t="s">
        <v>36</v>
      </c>
      <c r="K405" t="s">
        <v>22</v>
      </c>
      <c r="L405" t="s">
        <v>27</v>
      </c>
      <c r="M405">
        <v>850.96</v>
      </c>
      <c r="N405">
        <f t="shared" si="33"/>
        <v>9</v>
      </c>
      <c r="O405">
        <v>25</v>
      </c>
      <c r="P405" t="str">
        <f t="shared" si="34"/>
        <v>Yes</v>
      </c>
      <c r="Q405">
        <f>IF(Booking_Data[[#This Row],[Discounted Booking]]="Yes",1,0)</f>
        <v>1</v>
      </c>
      <c r="R405" t="s">
        <v>24</v>
      </c>
      <c r="S405">
        <f>IF(Booking_Data[[#This Row],[Cancellation Status]]="yes",1,0)</f>
        <v>0</v>
      </c>
    </row>
    <row r="406" spans="1:19" x14ac:dyDescent="0.35">
      <c r="A406" t="s">
        <v>830</v>
      </c>
      <c r="B406" t="s">
        <v>831</v>
      </c>
      <c r="C406" s="1">
        <v>45366</v>
      </c>
      <c r="D406" s="1">
        <v>45369</v>
      </c>
      <c r="E406" s="1">
        <v>45378</v>
      </c>
      <c r="F406" s="2">
        <f t="shared" si="30"/>
        <v>3</v>
      </c>
      <c r="G406" s="2" t="str">
        <f t="shared" si="31"/>
        <v>Friday</v>
      </c>
      <c r="H406" s="2" t="str">
        <f t="shared" si="32"/>
        <v>March</v>
      </c>
      <c r="I406" t="s">
        <v>35</v>
      </c>
      <c r="J406" t="s">
        <v>15</v>
      </c>
      <c r="K406" t="s">
        <v>58</v>
      </c>
      <c r="L406" t="s">
        <v>37</v>
      </c>
      <c r="M406">
        <v>121.61</v>
      </c>
      <c r="N406">
        <f t="shared" si="33"/>
        <v>9</v>
      </c>
      <c r="O406">
        <v>10</v>
      </c>
      <c r="P406" t="str">
        <f t="shared" si="34"/>
        <v>Yes</v>
      </c>
      <c r="Q406">
        <f>IF(Booking_Data[[#This Row],[Discounted Booking]]="Yes",1,0)</f>
        <v>1</v>
      </c>
      <c r="R406" t="s">
        <v>24</v>
      </c>
      <c r="S406">
        <f>IF(Booking_Data[[#This Row],[Cancellation Status]]="yes",1,0)</f>
        <v>0</v>
      </c>
    </row>
    <row r="407" spans="1:19" x14ac:dyDescent="0.35">
      <c r="A407" t="s">
        <v>832</v>
      </c>
      <c r="B407" t="s">
        <v>833</v>
      </c>
      <c r="C407" s="1">
        <v>45366</v>
      </c>
      <c r="D407" s="1">
        <v>45383</v>
      </c>
      <c r="E407" s="1">
        <v>45392</v>
      </c>
      <c r="F407" s="2">
        <f t="shared" si="30"/>
        <v>3</v>
      </c>
      <c r="G407" s="2" t="str">
        <f t="shared" si="31"/>
        <v>Friday</v>
      </c>
      <c r="H407" s="2" t="str">
        <f t="shared" si="32"/>
        <v>March</v>
      </c>
      <c r="I407" t="s">
        <v>14</v>
      </c>
      <c r="J407" t="s">
        <v>31</v>
      </c>
      <c r="K407" t="s">
        <v>16</v>
      </c>
      <c r="L407" t="s">
        <v>37</v>
      </c>
      <c r="M407">
        <v>781.58</v>
      </c>
      <c r="N407">
        <f t="shared" si="33"/>
        <v>9</v>
      </c>
      <c r="O407">
        <v>0</v>
      </c>
      <c r="P407" t="str">
        <f t="shared" si="34"/>
        <v>No</v>
      </c>
      <c r="Q407">
        <f>IF(Booking_Data[[#This Row],[Discounted Booking]]="Yes",1,0)</f>
        <v>0</v>
      </c>
      <c r="R407" t="s">
        <v>18</v>
      </c>
      <c r="S407">
        <f>IF(Booking_Data[[#This Row],[Cancellation Status]]="yes",1,0)</f>
        <v>1</v>
      </c>
    </row>
    <row r="408" spans="1:19" x14ac:dyDescent="0.35">
      <c r="A408" t="s">
        <v>834</v>
      </c>
      <c r="B408" t="s">
        <v>835</v>
      </c>
      <c r="C408" s="1">
        <v>45366</v>
      </c>
      <c r="D408" s="1">
        <v>45385</v>
      </c>
      <c r="E408" s="1">
        <v>45393</v>
      </c>
      <c r="F408" s="2">
        <f t="shared" si="30"/>
        <v>3</v>
      </c>
      <c r="G408" s="2" t="str">
        <f t="shared" si="31"/>
        <v>Friday</v>
      </c>
      <c r="H408" s="2" t="str">
        <f t="shared" si="32"/>
        <v>March</v>
      </c>
      <c r="I408" t="s">
        <v>30</v>
      </c>
      <c r="J408" t="s">
        <v>36</v>
      </c>
      <c r="K408" t="s">
        <v>32</v>
      </c>
      <c r="L408" t="s">
        <v>27</v>
      </c>
      <c r="M408">
        <v>854.05</v>
      </c>
      <c r="N408">
        <f t="shared" si="33"/>
        <v>8</v>
      </c>
      <c r="O408">
        <v>0</v>
      </c>
      <c r="P408" t="str">
        <f t="shared" si="34"/>
        <v>No</v>
      </c>
      <c r="Q408">
        <f>IF(Booking_Data[[#This Row],[Discounted Booking]]="Yes",1,0)</f>
        <v>0</v>
      </c>
      <c r="R408" t="s">
        <v>24</v>
      </c>
      <c r="S408">
        <f>IF(Booking_Data[[#This Row],[Cancellation Status]]="yes",1,0)</f>
        <v>0</v>
      </c>
    </row>
    <row r="409" spans="1:19" x14ac:dyDescent="0.35">
      <c r="A409" t="s">
        <v>836</v>
      </c>
      <c r="B409" t="s">
        <v>837</v>
      </c>
      <c r="C409" s="1">
        <v>45367</v>
      </c>
      <c r="D409" s="1">
        <v>45387</v>
      </c>
      <c r="E409" s="1">
        <v>45390</v>
      </c>
      <c r="F409" s="2">
        <f t="shared" si="30"/>
        <v>3</v>
      </c>
      <c r="G409" s="2" t="str">
        <f t="shared" si="31"/>
        <v>Saturday</v>
      </c>
      <c r="H409" s="2" t="str">
        <f t="shared" si="32"/>
        <v>March</v>
      </c>
      <c r="I409" t="s">
        <v>30</v>
      </c>
      <c r="J409" t="s">
        <v>21</v>
      </c>
      <c r="K409" t="s">
        <v>32</v>
      </c>
      <c r="L409" t="s">
        <v>37</v>
      </c>
      <c r="M409">
        <v>1191.07</v>
      </c>
      <c r="N409">
        <f t="shared" si="33"/>
        <v>3</v>
      </c>
      <c r="O409">
        <v>20</v>
      </c>
      <c r="P409" t="str">
        <f t="shared" si="34"/>
        <v>Yes</v>
      </c>
      <c r="Q409">
        <f>IF(Booking_Data[[#This Row],[Discounted Booking]]="Yes",1,0)</f>
        <v>1</v>
      </c>
      <c r="R409" t="s">
        <v>24</v>
      </c>
      <c r="S409">
        <f>IF(Booking_Data[[#This Row],[Cancellation Status]]="yes",1,0)</f>
        <v>0</v>
      </c>
    </row>
    <row r="410" spans="1:19" x14ac:dyDescent="0.35">
      <c r="A410" t="s">
        <v>838</v>
      </c>
      <c r="B410" t="s">
        <v>839</v>
      </c>
      <c r="C410" s="1">
        <v>45367</v>
      </c>
      <c r="D410" s="1">
        <v>45393</v>
      </c>
      <c r="E410" s="1">
        <v>45403</v>
      </c>
      <c r="F410" s="2">
        <f t="shared" si="30"/>
        <v>3</v>
      </c>
      <c r="G410" s="2" t="str">
        <f t="shared" si="31"/>
        <v>Saturday</v>
      </c>
      <c r="H410" s="2" t="str">
        <f t="shared" si="32"/>
        <v>March</v>
      </c>
      <c r="I410" t="s">
        <v>35</v>
      </c>
      <c r="J410" t="s">
        <v>21</v>
      </c>
      <c r="K410" t="s">
        <v>16</v>
      </c>
      <c r="L410" t="s">
        <v>27</v>
      </c>
      <c r="M410">
        <v>944.24</v>
      </c>
      <c r="N410">
        <f t="shared" si="33"/>
        <v>10</v>
      </c>
      <c r="O410">
        <v>5</v>
      </c>
      <c r="P410" t="str">
        <f t="shared" si="34"/>
        <v>Yes</v>
      </c>
      <c r="Q410">
        <f>IF(Booking_Data[[#This Row],[Discounted Booking]]="Yes",1,0)</f>
        <v>1</v>
      </c>
      <c r="R410" t="s">
        <v>24</v>
      </c>
      <c r="S410">
        <f>IF(Booking_Data[[#This Row],[Cancellation Status]]="yes",1,0)</f>
        <v>0</v>
      </c>
    </row>
    <row r="411" spans="1:19" x14ac:dyDescent="0.35">
      <c r="A411" t="s">
        <v>840</v>
      </c>
      <c r="B411" t="s">
        <v>841</v>
      </c>
      <c r="C411" s="1">
        <v>45367</v>
      </c>
      <c r="D411" s="1">
        <v>45378</v>
      </c>
      <c r="E411" s="1">
        <v>45382</v>
      </c>
      <c r="F411" s="2">
        <f t="shared" si="30"/>
        <v>3</v>
      </c>
      <c r="G411" s="2" t="str">
        <f t="shared" si="31"/>
        <v>Saturday</v>
      </c>
      <c r="H411" s="2" t="str">
        <f t="shared" si="32"/>
        <v>March</v>
      </c>
      <c r="I411" t="s">
        <v>35</v>
      </c>
      <c r="J411" t="s">
        <v>21</v>
      </c>
      <c r="K411" t="s">
        <v>42</v>
      </c>
      <c r="L411" t="s">
        <v>27</v>
      </c>
      <c r="M411">
        <v>1284.3699999999999</v>
      </c>
      <c r="N411">
        <f t="shared" si="33"/>
        <v>4</v>
      </c>
      <c r="O411">
        <v>25</v>
      </c>
      <c r="P411" t="str">
        <f t="shared" si="34"/>
        <v>Yes</v>
      </c>
      <c r="Q411">
        <f>IF(Booking_Data[[#This Row],[Discounted Booking]]="Yes",1,0)</f>
        <v>1</v>
      </c>
      <c r="R411" t="s">
        <v>24</v>
      </c>
      <c r="S411">
        <f>IF(Booking_Data[[#This Row],[Cancellation Status]]="yes",1,0)</f>
        <v>0</v>
      </c>
    </row>
    <row r="412" spans="1:19" x14ac:dyDescent="0.35">
      <c r="A412" t="s">
        <v>842</v>
      </c>
      <c r="B412" t="s">
        <v>369</v>
      </c>
      <c r="C412" s="1">
        <v>45367</v>
      </c>
      <c r="D412" s="1">
        <v>45379</v>
      </c>
      <c r="E412" s="1">
        <v>45380</v>
      </c>
      <c r="F412" s="2">
        <f t="shared" si="30"/>
        <v>3</v>
      </c>
      <c r="G412" s="2" t="str">
        <f t="shared" si="31"/>
        <v>Saturday</v>
      </c>
      <c r="H412" s="2" t="str">
        <f t="shared" si="32"/>
        <v>March</v>
      </c>
      <c r="I412" t="s">
        <v>14</v>
      </c>
      <c r="J412" t="s">
        <v>15</v>
      </c>
      <c r="K412" t="s">
        <v>49</v>
      </c>
      <c r="L412" t="s">
        <v>27</v>
      </c>
      <c r="M412">
        <v>965.02</v>
      </c>
      <c r="N412">
        <f t="shared" si="33"/>
        <v>1</v>
      </c>
      <c r="O412">
        <v>10</v>
      </c>
      <c r="P412" t="str">
        <f t="shared" si="34"/>
        <v>Yes</v>
      </c>
      <c r="Q412">
        <f>IF(Booking_Data[[#This Row],[Discounted Booking]]="Yes",1,0)</f>
        <v>1</v>
      </c>
      <c r="R412" t="s">
        <v>18</v>
      </c>
      <c r="S412">
        <f>IF(Booking_Data[[#This Row],[Cancellation Status]]="yes",1,0)</f>
        <v>1</v>
      </c>
    </row>
    <row r="413" spans="1:19" x14ac:dyDescent="0.35">
      <c r="A413" t="s">
        <v>843</v>
      </c>
      <c r="B413" t="s">
        <v>644</v>
      </c>
      <c r="C413" s="1">
        <v>45367</v>
      </c>
      <c r="D413" s="1">
        <v>45395</v>
      </c>
      <c r="E413" s="1">
        <v>45403</v>
      </c>
      <c r="F413" s="2">
        <f t="shared" si="30"/>
        <v>3</v>
      </c>
      <c r="G413" s="2" t="str">
        <f t="shared" si="31"/>
        <v>Saturday</v>
      </c>
      <c r="H413" s="2" t="str">
        <f t="shared" si="32"/>
        <v>March</v>
      </c>
      <c r="I413" t="s">
        <v>35</v>
      </c>
      <c r="J413" t="s">
        <v>15</v>
      </c>
      <c r="K413" t="s">
        <v>22</v>
      </c>
      <c r="L413" t="s">
        <v>23</v>
      </c>
      <c r="M413">
        <v>350.86</v>
      </c>
      <c r="N413">
        <f t="shared" si="33"/>
        <v>8</v>
      </c>
      <c r="O413">
        <v>25</v>
      </c>
      <c r="P413" t="str">
        <f t="shared" si="34"/>
        <v>Yes</v>
      </c>
      <c r="Q413">
        <f>IF(Booking_Data[[#This Row],[Discounted Booking]]="Yes",1,0)</f>
        <v>1</v>
      </c>
      <c r="R413" t="s">
        <v>18</v>
      </c>
      <c r="S413">
        <f>IF(Booking_Data[[#This Row],[Cancellation Status]]="yes",1,0)</f>
        <v>1</v>
      </c>
    </row>
    <row r="414" spans="1:19" x14ac:dyDescent="0.35">
      <c r="A414" t="s">
        <v>844</v>
      </c>
      <c r="B414" t="s">
        <v>845</v>
      </c>
      <c r="C414" s="1">
        <v>45368</v>
      </c>
      <c r="D414" s="1">
        <v>45381</v>
      </c>
      <c r="E414" s="1">
        <v>45390</v>
      </c>
      <c r="F414" s="2">
        <f t="shared" si="30"/>
        <v>4</v>
      </c>
      <c r="G414" s="2" t="str">
        <f t="shared" si="31"/>
        <v>Sunday</v>
      </c>
      <c r="H414" s="2" t="str">
        <f t="shared" si="32"/>
        <v>March</v>
      </c>
      <c r="I414" t="s">
        <v>30</v>
      </c>
      <c r="J414" t="s">
        <v>31</v>
      </c>
      <c r="K414" t="s">
        <v>16</v>
      </c>
      <c r="L414" t="s">
        <v>37</v>
      </c>
      <c r="M414">
        <v>1089.07</v>
      </c>
      <c r="N414">
        <f t="shared" si="33"/>
        <v>9</v>
      </c>
      <c r="O414">
        <v>0</v>
      </c>
      <c r="P414" t="str">
        <f t="shared" si="34"/>
        <v>No</v>
      </c>
      <c r="Q414">
        <f>IF(Booking_Data[[#This Row],[Discounted Booking]]="Yes",1,0)</f>
        <v>0</v>
      </c>
      <c r="R414" t="s">
        <v>24</v>
      </c>
      <c r="S414">
        <f>IF(Booking_Data[[#This Row],[Cancellation Status]]="yes",1,0)</f>
        <v>0</v>
      </c>
    </row>
    <row r="415" spans="1:19" x14ac:dyDescent="0.35">
      <c r="A415" t="s">
        <v>846</v>
      </c>
      <c r="B415" t="s">
        <v>847</v>
      </c>
      <c r="C415" s="1">
        <v>45368</v>
      </c>
      <c r="D415" s="1">
        <v>45395</v>
      </c>
      <c r="E415" s="1">
        <v>45398</v>
      </c>
      <c r="F415" s="2">
        <f t="shared" si="30"/>
        <v>4</v>
      </c>
      <c r="G415" s="2" t="str">
        <f t="shared" si="31"/>
        <v>Sunday</v>
      </c>
      <c r="H415" s="2" t="str">
        <f t="shared" si="32"/>
        <v>March</v>
      </c>
      <c r="I415" t="s">
        <v>30</v>
      </c>
      <c r="J415" t="s">
        <v>21</v>
      </c>
      <c r="K415" t="s">
        <v>42</v>
      </c>
      <c r="L415" t="s">
        <v>37</v>
      </c>
      <c r="M415">
        <v>372.43</v>
      </c>
      <c r="N415">
        <f t="shared" si="33"/>
        <v>3</v>
      </c>
      <c r="O415">
        <v>15</v>
      </c>
      <c r="P415" t="str">
        <f t="shared" si="34"/>
        <v>Yes</v>
      </c>
      <c r="Q415">
        <f>IF(Booking_Data[[#This Row],[Discounted Booking]]="Yes",1,0)</f>
        <v>1</v>
      </c>
      <c r="R415" t="s">
        <v>24</v>
      </c>
      <c r="S415">
        <f>IF(Booking_Data[[#This Row],[Cancellation Status]]="yes",1,0)</f>
        <v>0</v>
      </c>
    </row>
    <row r="416" spans="1:19" x14ac:dyDescent="0.35">
      <c r="A416" t="s">
        <v>848</v>
      </c>
      <c r="B416" t="s">
        <v>849</v>
      </c>
      <c r="C416" s="1">
        <v>45368</v>
      </c>
      <c r="D416" s="1">
        <v>45385</v>
      </c>
      <c r="E416" s="1">
        <v>45392</v>
      </c>
      <c r="F416" s="2">
        <f t="shared" si="30"/>
        <v>4</v>
      </c>
      <c r="G416" s="2" t="str">
        <f t="shared" si="31"/>
        <v>Sunday</v>
      </c>
      <c r="H416" s="2" t="str">
        <f t="shared" si="32"/>
        <v>March</v>
      </c>
      <c r="I416" t="s">
        <v>35</v>
      </c>
      <c r="J416" t="s">
        <v>21</v>
      </c>
      <c r="K416" t="s">
        <v>22</v>
      </c>
      <c r="L416" t="s">
        <v>17</v>
      </c>
      <c r="M416">
        <v>1016.31</v>
      </c>
      <c r="N416">
        <f t="shared" si="33"/>
        <v>7</v>
      </c>
      <c r="O416">
        <v>10</v>
      </c>
      <c r="P416" t="str">
        <f t="shared" si="34"/>
        <v>Yes</v>
      </c>
      <c r="Q416">
        <f>IF(Booking_Data[[#This Row],[Discounted Booking]]="Yes",1,0)</f>
        <v>1</v>
      </c>
      <c r="R416" t="s">
        <v>24</v>
      </c>
      <c r="S416">
        <f>IF(Booking_Data[[#This Row],[Cancellation Status]]="yes",1,0)</f>
        <v>0</v>
      </c>
    </row>
    <row r="417" spans="1:19" x14ac:dyDescent="0.35">
      <c r="A417" t="s">
        <v>850</v>
      </c>
      <c r="B417" t="s">
        <v>851</v>
      </c>
      <c r="C417" s="1">
        <v>45368</v>
      </c>
      <c r="D417" s="1">
        <v>45369</v>
      </c>
      <c r="E417" s="1">
        <v>45376</v>
      </c>
      <c r="F417" s="2">
        <f t="shared" si="30"/>
        <v>4</v>
      </c>
      <c r="G417" s="2" t="str">
        <f t="shared" si="31"/>
        <v>Sunday</v>
      </c>
      <c r="H417" s="2" t="str">
        <f t="shared" si="32"/>
        <v>March</v>
      </c>
      <c r="I417" t="s">
        <v>30</v>
      </c>
      <c r="J417" t="s">
        <v>36</v>
      </c>
      <c r="K417" t="s">
        <v>42</v>
      </c>
      <c r="L417" t="s">
        <v>27</v>
      </c>
      <c r="M417">
        <v>994.21</v>
      </c>
      <c r="N417">
        <f t="shared" si="33"/>
        <v>7</v>
      </c>
      <c r="O417">
        <v>15</v>
      </c>
      <c r="P417" t="str">
        <f t="shared" si="34"/>
        <v>Yes</v>
      </c>
      <c r="Q417">
        <f>IF(Booking_Data[[#This Row],[Discounted Booking]]="Yes",1,0)</f>
        <v>1</v>
      </c>
      <c r="R417" t="s">
        <v>24</v>
      </c>
      <c r="S417">
        <f>IF(Booking_Data[[#This Row],[Cancellation Status]]="yes",1,0)</f>
        <v>0</v>
      </c>
    </row>
    <row r="418" spans="1:19" x14ac:dyDescent="0.35">
      <c r="A418" t="s">
        <v>852</v>
      </c>
      <c r="B418" t="s">
        <v>853</v>
      </c>
      <c r="C418" s="1">
        <v>45368</v>
      </c>
      <c r="D418" s="1">
        <v>45369</v>
      </c>
      <c r="E418" s="1">
        <v>45372</v>
      </c>
      <c r="F418" s="2">
        <f t="shared" si="30"/>
        <v>4</v>
      </c>
      <c r="G418" s="2" t="str">
        <f t="shared" si="31"/>
        <v>Sunday</v>
      </c>
      <c r="H418" s="2" t="str">
        <f t="shared" si="32"/>
        <v>March</v>
      </c>
      <c r="I418" t="s">
        <v>30</v>
      </c>
      <c r="J418" t="s">
        <v>15</v>
      </c>
      <c r="K418" t="s">
        <v>58</v>
      </c>
      <c r="L418" t="s">
        <v>23</v>
      </c>
      <c r="M418">
        <v>765.47</v>
      </c>
      <c r="N418">
        <f t="shared" si="33"/>
        <v>3</v>
      </c>
      <c r="O418">
        <v>20</v>
      </c>
      <c r="P418" t="str">
        <f t="shared" si="34"/>
        <v>Yes</v>
      </c>
      <c r="Q418">
        <f>IF(Booking_Data[[#This Row],[Discounted Booking]]="Yes",1,0)</f>
        <v>1</v>
      </c>
      <c r="R418" t="s">
        <v>18</v>
      </c>
      <c r="S418">
        <f>IF(Booking_Data[[#This Row],[Cancellation Status]]="yes",1,0)</f>
        <v>1</v>
      </c>
    </row>
    <row r="419" spans="1:19" x14ac:dyDescent="0.35">
      <c r="A419" t="s">
        <v>854</v>
      </c>
      <c r="B419" t="s">
        <v>855</v>
      </c>
      <c r="C419" s="1">
        <v>45368</v>
      </c>
      <c r="D419" s="1">
        <v>45369</v>
      </c>
      <c r="E419" s="1">
        <v>45375</v>
      </c>
      <c r="F419" s="2">
        <f t="shared" si="30"/>
        <v>4</v>
      </c>
      <c r="G419" s="2" t="str">
        <f t="shared" si="31"/>
        <v>Sunday</v>
      </c>
      <c r="H419" s="2" t="str">
        <f t="shared" si="32"/>
        <v>March</v>
      </c>
      <c r="I419" t="s">
        <v>35</v>
      </c>
      <c r="J419" t="s">
        <v>21</v>
      </c>
      <c r="K419" t="s">
        <v>49</v>
      </c>
      <c r="L419" t="s">
        <v>23</v>
      </c>
      <c r="M419">
        <v>433.43</v>
      </c>
      <c r="N419">
        <f t="shared" si="33"/>
        <v>6</v>
      </c>
      <c r="O419">
        <v>25</v>
      </c>
      <c r="P419" t="str">
        <f t="shared" si="34"/>
        <v>Yes</v>
      </c>
      <c r="Q419">
        <f>IF(Booking_Data[[#This Row],[Discounted Booking]]="Yes",1,0)</f>
        <v>1</v>
      </c>
      <c r="R419" t="s">
        <v>24</v>
      </c>
      <c r="S419">
        <f>IF(Booking_Data[[#This Row],[Cancellation Status]]="yes",1,0)</f>
        <v>0</v>
      </c>
    </row>
    <row r="420" spans="1:19" x14ac:dyDescent="0.35">
      <c r="A420" t="s">
        <v>856</v>
      </c>
      <c r="B420" t="s">
        <v>857</v>
      </c>
      <c r="C420" s="1">
        <v>45369</v>
      </c>
      <c r="D420" s="1">
        <v>45391</v>
      </c>
      <c r="E420" s="1">
        <v>45401</v>
      </c>
      <c r="F420" s="2">
        <f t="shared" si="30"/>
        <v>4</v>
      </c>
      <c r="G420" s="2" t="str">
        <f t="shared" si="31"/>
        <v>Monday</v>
      </c>
      <c r="H420" s="2" t="str">
        <f t="shared" si="32"/>
        <v>March</v>
      </c>
      <c r="I420" t="s">
        <v>30</v>
      </c>
      <c r="J420" t="s">
        <v>21</v>
      </c>
      <c r="K420" t="s">
        <v>42</v>
      </c>
      <c r="L420" t="s">
        <v>37</v>
      </c>
      <c r="M420">
        <v>1497.98</v>
      </c>
      <c r="N420">
        <f t="shared" si="33"/>
        <v>10</v>
      </c>
      <c r="O420">
        <v>0</v>
      </c>
      <c r="P420" t="str">
        <f t="shared" si="34"/>
        <v>No</v>
      </c>
      <c r="Q420">
        <f>IF(Booking_Data[[#This Row],[Discounted Booking]]="Yes",1,0)</f>
        <v>0</v>
      </c>
      <c r="R420" t="s">
        <v>18</v>
      </c>
      <c r="S420">
        <f>IF(Booking_Data[[#This Row],[Cancellation Status]]="yes",1,0)</f>
        <v>1</v>
      </c>
    </row>
    <row r="421" spans="1:19" x14ac:dyDescent="0.35">
      <c r="A421" t="s">
        <v>858</v>
      </c>
      <c r="B421" t="s">
        <v>859</v>
      </c>
      <c r="C421" s="1">
        <v>45369</v>
      </c>
      <c r="D421" s="1">
        <v>45373</v>
      </c>
      <c r="E421" s="1">
        <v>45379</v>
      </c>
      <c r="F421" s="2">
        <f t="shared" si="30"/>
        <v>4</v>
      </c>
      <c r="G421" s="2" t="str">
        <f t="shared" si="31"/>
        <v>Monday</v>
      </c>
      <c r="H421" s="2" t="str">
        <f t="shared" si="32"/>
        <v>March</v>
      </c>
      <c r="I421" t="s">
        <v>35</v>
      </c>
      <c r="J421" t="s">
        <v>21</v>
      </c>
      <c r="K421" t="s">
        <v>22</v>
      </c>
      <c r="L421" t="s">
        <v>17</v>
      </c>
      <c r="M421">
        <v>663.51</v>
      </c>
      <c r="N421">
        <f t="shared" si="33"/>
        <v>6</v>
      </c>
      <c r="O421">
        <v>20</v>
      </c>
      <c r="P421" t="str">
        <f t="shared" si="34"/>
        <v>Yes</v>
      </c>
      <c r="Q421">
        <f>IF(Booking_Data[[#This Row],[Discounted Booking]]="Yes",1,0)</f>
        <v>1</v>
      </c>
      <c r="R421" t="s">
        <v>18</v>
      </c>
      <c r="S421">
        <f>IF(Booking_Data[[#This Row],[Cancellation Status]]="yes",1,0)</f>
        <v>1</v>
      </c>
    </row>
    <row r="422" spans="1:19" x14ac:dyDescent="0.35">
      <c r="A422" t="s">
        <v>860</v>
      </c>
      <c r="B422" t="s">
        <v>861</v>
      </c>
      <c r="C422" s="1">
        <v>45369</v>
      </c>
      <c r="D422" s="1">
        <v>45372</v>
      </c>
      <c r="E422" s="1">
        <v>45380</v>
      </c>
      <c r="F422" s="2">
        <f t="shared" si="30"/>
        <v>4</v>
      </c>
      <c r="G422" s="2" t="str">
        <f t="shared" si="31"/>
        <v>Monday</v>
      </c>
      <c r="H422" s="2" t="str">
        <f t="shared" si="32"/>
        <v>March</v>
      </c>
      <c r="I422" t="s">
        <v>35</v>
      </c>
      <c r="J422" t="s">
        <v>21</v>
      </c>
      <c r="K422" t="s">
        <v>32</v>
      </c>
      <c r="L422" t="s">
        <v>37</v>
      </c>
      <c r="M422">
        <v>1359.94</v>
      </c>
      <c r="N422">
        <f t="shared" si="33"/>
        <v>8</v>
      </c>
      <c r="O422">
        <v>5</v>
      </c>
      <c r="P422" t="str">
        <f t="shared" si="34"/>
        <v>Yes</v>
      </c>
      <c r="Q422">
        <f>IF(Booking_Data[[#This Row],[Discounted Booking]]="Yes",1,0)</f>
        <v>1</v>
      </c>
      <c r="R422" t="s">
        <v>18</v>
      </c>
      <c r="S422">
        <f>IF(Booking_Data[[#This Row],[Cancellation Status]]="yes",1,0)</f>
        <v>1</v>
      </c>
    </row>
    <row r="423" spans="1:19" x14ac:dyDescent="0.35">
      <c r="A423" t="s">
        <v>862</v>
      </c>
      <c r="B423" t="s">
        <v>863</v>
      </c>
      <c r="C423" s="1">
        <v>45369</v>
      </c>
      <c r="D423" s="1">
        <v>45387</v>
      </c>
      <c r="E423" s="1">
        <v>45396</v>
      </c>
      <c r="F423" s="2">
        <f t="shared" si="30"/>
        <v>4</v>
      </c>
      <c r="G423" s="2" t="str">
        <f t="shared" si="31"/>
        <v>Monday</v>
      </c>
      <c r="H423" s="2" t="str">
        <f t="shared" si="32"/>
        <v>March</v>
      </c>
      <c r="I423" t="s">
        <v>35</v>
      </c>
      <c r="J423" t="s">
        <v>31</v>
      </c>
      <c r="K423" t="s">
        <v>49</v>
      </c>
      <c r="L423" t="s">
        <v>37</v>
      </c>
      <c r="M423">
        <v>474.08</v>
      </c>
      <c r="N423">
        <f t="shared" si="33"/>
        <v>9</v>
      </c>
      <c r="O423">
        <v>0</v>
      </c>
      <c r="P423" t="str">
        <f t="shared" si="34"/>
        <v>No</v>
      </c>
      <c r="Q423">
        <f>IF(Booking_Data[[#This Row],[Discounted Booking]]="Yes",1,0)</f>
        <v>0</v>
      </c>
      <c r="R423" t="s">
        <v>18</v>
      </c>
      <c r="S423">
        <f>IF(Booking_Data[[#This Row],[Cancellation Status]]="yes",1,0)</f>
        <v>1</v>
      </c>
    </row>
    <row r="424" spans="1:19" x14ac:dyDescent="0.35">
      <c r="A424" t="s">
        <v>864</v>
      </c>
      <c r="B424" t="s">
        <v>865</v>
      </c>
      <c r="C424" s="1">
        <v>45369</v>
      </c>
      <c r="D424" s="1">
        <v>45378</v>
      </c>
      <c r="E424" s="1">
        <v>45386</v>
      </c>
      <c r="F424" s="2">
        <f t="shared" si="30"/>
        <v>4</v>
      </c>
      <c r="G424" s="2" t="str">
        <f t="shared" si="31"/>
        <v>Monday</v>
      </c>
      <c r="H424" s="2" t="str">
        <f t="shared" si="32"/>
        <v>March</v>
      </c>
      <c r="I424" t="s">
        <v>35</v>
      </c>
      <c r="J424" t="s">
        <v>21</v>
      </c>
      <c r="K424" t="s">
        <v>42</v>
      </c>
      <c r="L424" t="s">
        <v>27</v>
      </c>
      <c r="M424">
        <v>529.99</v>
      </c>
      <c r="N424">
        <f t="shared" si="33"/>
        <v>8</v>
      </c>
      <c r="O424">
        <v>5</v>
      </c>
      <c r="P424" t="str">
        <f t="shared" si="34"/>
        <v>Yes</v>
      </c>
      <c r="Q424">
        <f>IF(Booking_Data[[#This Row],[Discounted Booking]]="Yes",1,0)</f>
        <v>1</v>
      </c>
      <c r="R424" t="s">
        <v>18</v>
      </c>
      <c r="S424">
        <f>IF(Booking_Data[[#This Row],[Cancellation Status]]="yes",1,0)</f>
        <v>1</v>
      </c>
    </row>
    <row r="425" spans="1:19" x14ac:dyDescent="0.35">
      <c r="A425" t="s">
        <v>866</v>
      </c>
      <c r="B425" t="s">
        <v>867</v>
      </c>
      <c r="C425" s="1">
        <v>45369</v>
      </c>
      <c r="D425" s="1">
        <v>45392</v>
      </c>
      <c r="E425" s="1">
        <v>45396</v>
      </c>
      <c r="F425" s="2">
        <f t="shared" si="30"/>
        <v>4</v>
      </c>
      <c r="G425" s="2" t="str">
        <f t="shared" si="31"/>
        <v>Monday</v>
      </c>
      <c r="H425" s="2" t="str">
        <f t="shared" si="32"/>
        <v>March</v>
      </c>
      <c r="I425" t="s">
        <v>30</v>
      </c>
      <c r="J425" t="s">
        <v>31</v>
      </c>
      <c r="K425" t="s">
        <v>22</v>
      </c>
      <c r="L425" t="s">
        <v>17</v>
      </c>
      <c r="M425">
        <v>1156.96</v>
      </c>
      <c r="N425">
        <f t="shared" si="33"/>
        <v>4</v>
      </c>
      <c r="O425">
        <v>5</v>
      </c>
      <c r="P425" t="str">
        <f t="shared" si="34"/>
        <v>Yes</v>
      </c>
      <c r="Q425">
        <f>IF(Booking_Data[[#This Row],[Discounted Booking]]="Yes",1,0)</f>
        <v>1</v>
      </c>
      <c r="R425" t="s">
        <v>24</v>
      </c>
      <c r="S425">
        <f>IF(Booking_Data[[#This Row],[Cancellation Status]]="yes",1,0)</f>
        <v>0</v>
      </c>
    </row>
    <row r="426" spans="1:19" x14ac:dyDescent="0.35">
      <c r="A426" t="s">
        <v>868</v>
      </c>
      <c r="B426" t="s">
        <v>869</v>
      </c>
      <c r="C426" s="1">
        <v>45370</v>
      </c>
      <c r="D426" s="1">
        <v>45377</v>
      </c>
      <c r="E426" s="1">
        <v>45382</v>
      </c>
      <c r="F426" s="2">
        <f t="shared" si="30"/>
        <v>4</v>
      </c>
      <c r="G426" s="2" t="str">
        <f t="shared" si="31"/>
        <v>Tuesday</v>
      </c>
      <c r="H426" s="2" t="str">
        <f t="shared" si="32"/>
        <v>March</v>
      </c>
      <c r="I426" t="s">
        <v>35</v>
      </c>
      <c r="J426" t="s">
        <v>21</v>
      </c>
      <c r="K426" t="s">
        <v>42</v>
      </c>
      <c r="L426" t="s">
        <v>17</v>
      </c>
      <c r="M426">
        <v>155.36000000000001</v>
      </c>
      <c r="N426">
        <f t="shared" si="33"/>
        <v>5</v>
      </c>
      <c r="O426">
        <v>20</v>
      </c>
      <c r="P426" t="str">
        <f t="shared" si="34"/>
        <v>Yes</v>
      </c>
      <c r="Q426">
        <f>IF(Booking_Data[[#This Row],[Discounted Booking]]="Yes",1,0)</f>
        <v>1</v>
      </c>
      <c r="R426" t="s">
        <v>24</v>
      </c>
      <c r="S426">
        <f>IF(Booking_Data[[#This Row],[Cancellation Status]]="yes",1,0)</f>
        <v>0</v>
      </c>
    </row>
    <row r="427" spans="1:19" x14ac:dyDescent="0.35">
      <c r="A427" t="s">
        <v>870</v>
      </c>
      <c r="B427" t="s">
        <v>871</v>
      </c>
      <c r="C427" s="1">
        <v>45370</v>
      </c>
      <c r="D427" s="1">
        <v>45382</v>
      </c>
      <c r="E427" s="1">
        <v>45391</v>
      </c>
      <c r="F427" s="2">
        <f t="shared" si="30"/>
        <v>4</v>
      </c>
      <c r="G427" s="2" t="str">
        <f t="shared" si="31"/>
        <v>Tuesday</v>
      </c>
      <c r="H427" s="2" t="str">
        <f t="shared" si="32"/>
        <v>March</v>
      </c>
      <c r="I427" t="s">
        <v>14</v>
      </c>
      <c r="J427" t="s">
        <v>31</v>
      </c>
      <c r="K427" t="s">
        <v>16</v>
      </c>
      <c r="L427" t="s">
        <v>37</v>
      </c>
      <c r="M427">
        <v>362.53</v>
      </c>
      <c r="N427">
        <f t="shared" si="33"/>
        <v>9</v>
      </c>
      <c r="O427">
        <v>20</v>
      </c>
      <c r="P427" t="str">
        <f t="shared" si="34"/>
        <v>Yes</v>
      </c>
      <c r="Q427">
        <f>IF(Booking_Data[[#This Row],[Discounted Booking]]="Yes",1,0)</f>
        <v>1</v>
      </c>
      <c r="R427" t="s">
        <v>18</v>
      </c>
      <c r="S427">
        <f>IF(Booking_Data[[#This Row],[Cancellation Status]]="yes",1,0)</f>
        <v>1</v>
      </c>
    </row>
    <row r="428" spans="1:19" x14ac:dyDescent="0.35">
      <c r="A428" t="s">
        <v>872</v>
      </c>
      <c r="B428" t="s">
        <v>873</v>
      </c>
      <c r="C428" s="1">
        <v>45370</v>
      </c>
      <c r="D428" s="1">
        <v>45385</v>
      </c>
      <c r="E428" s="1">
        <v>45394</v>
      </c>
      <c r="F428" s="2">
        <f t="shared" si="30"/>
        <v>4</v>
      </c>
      <c r="G428" s="2" t="str">
        <f t="shared" si="31"/>
        <v>Tuesday</v>
      </c>
      <c r="H428" s="2" t="str">
        <f t="shared" si="32"/>
        <v>March</v>
      </c>
      <c r="I428" t="s">
        <v>30</v>
      </c>
      <c r="J428" t="s">
        <v>15</v>
      </c>
      <c r="K428" t="s">
        <v>32</v>
      </c>
      <c r="L428" t="s">
        <v>17</v>
      </c>
      <c r="M428">
        <v>719.16</v>
      </c>
      <c r="N428">
        <f t="shared" si="33"/>
        <v>9</v>
      </c>
      <c r="O428">
        <v>15</v>
      </c>
      <c r="P428" t="str">
        <f t="shared" si="34"/>
        <v>Yes</v>
      </c>
      <c r="Q428">
        <f>IF(Booking_Data[[#This Row],[Discounted Booking]]="Yes",1,0)</f>
        <v>1</v>
      </c>
      <c r="R428" t="s">
        <v>18</v>
      </c>
      <c r="S428">
        <f>IF(Booking_Data[[#This Row],[Cancellation Status]]="yes",1,0)</f>
        <v>1</v>
      </c>
    </row>
    <row r="429" spans="1:19" x14ac:dyDescent="0.35">
      <c r="A429" t="s">
        <v>874</v>
      </c>
      <c r="B429" t="s">
        <v>875</v>
      </c>
      <c r="C429" s="1">
        <v>45370</v>
      </c>
      <c r="D429" s="1">
        <v>45385</v>
      </c>
      <c r="E429" s="1">
        <v>45393</v>
      </c>
      <c r="F429" s="2">
        <f t="shared" si="30"/>
        <v>4</v>
      </c>
      <c r="G429" s="2" t="str">
        <f t="shared" si="31"/>
        <v>Tuesday</v>
      </c>
      <c r="H429" s="2" t="str">
        <f t="shared" si="32"/>
        <v>March</v>
      </c>
      <c r="I429" t="s">
        <v>35</v>
      </c>
      <c r="J429" t="s">
        <v>21</v>
      </c>
      <c r="K429" t="s">
        <v>16</v>
      </c>
      <c r="L429" t="s">
        <v>23</v>
      </c>
      <c r="M429">
        <v>621.34</v>
      </c>
      <c r="N429">
        <f t="shared" si="33"/>
        <v>8</v>
      </c>
      <c r="O429">
        <v>15</v>
      </c>
      <c r="P429" t="str">
        <f t="shared" si="34"/>
        <v>Yes</v>
      </c>
      <c r="Q429">
        <f>IF(Booking_Data[[#This Row],[Discounted Booking]]="Yes",1,0)</f>
        <v>1</v>
      </c>
      <c r="R429" t="s">
        <v>24</v>
      </c>
      <c r="S429">
        <f>IF(Booking_Data[[#This Row],[Cancellation Status]]="yes",1,0)</f>
        <v>0</v>
      </c>
    </row>
    <row r="430" spans="1:19" x14ac:dyDescent="0.35">
      <c r="A430" t="s">
        <v>876</v>
      </c>
      <c r="B430" t="s">
        <v>877</v>
      </c>
      <c r="C430" s="1">
        <v>45370</v>
      </c>
      <c r="D430" s="1">
        <v>45373</v>
      </c>
      <c r="E430" s="1">
        <v>45378</v>
      </c>
      <c r="F430" s="2">
        <f t="shared" si="30"/>
        <v>4</v>
      </c>
      <c r="G430" s="2" t="str">
        <f t="shared" si="31"/>
        <v>Tuesday</v>
      </c>
      <c r="H430" s="2" t="str">
        <f t="shared" si="32"/>
        <v>March</v>
      </c>
      <c r="I430" t="s">
        <v>30</v>
      </c>
      <c r="J430" t="s">
        <v>21</v>
      </c>
      <c r="K430" t="s">
        <v>22</v>
      </c>
      <c r="L430" t="s">
        <v>23</v>
      </c>
      <c r="M430">
        <v>585.84</v>
      </c>
      <c r="N430">
        <f t="shared" si="33"/>
        <v>5</v>
      </c>
      <c r="O430">
        <v>10</v>
      </c>
      <c r="P430" t="str">
        <f t="shared" si="34"/>
        <v>Yes</v>
      </c>
      <c r="Q430">
        <f>IF(Booking_Data[[#This Row],[Discounted Booking]]="Yes",1,0)</f>
        <v>1</v>
      </c>
      <c r="R430" t="s">
        <v>24</v>
      </c>
      <c r="S430">
        <f>IF(Booking_Data[[#This Row],[Cancellation Status]]="yes",1,0)</f>
        <v>0</v>
      </c>
    </row>
    <row r="431" spans="1:19" x14ac:dyDescent="0.35">
      <c r="A431" t="s">
        <v>878</v>
      </c>
      <c r="B431" t="s">
        <v>879</v>
      </c>
      <c r="C431" s="1">
        <v>45370</v>
      </c>
      <c r="D431" s="1">
        <v>45394</v>
      </c>
      <c r="E431" s="1">
        <v>45403</v>
      </c>
      <c r="F431" s="2">
        <f t="shared" si="30"/>
        <v>4</v>
      </c>
      <c r="G431" s="2" t="str">
        <f t="shared" si="31"/>
        <v>Tuesday</v>
      </c>
      <c r="H431" s="2" t="str">
        <f t="shared" si="32"/>
        <v>March</v>
      </c>
      <c r="I431" t="s">
        <v>30</v>
      </c>
      <c r="J431" t="s">
        <v>15</v>
      </c>
      <c r="K431" t="s">
        <v>42</v>
      </c>
      <c r="L431" t="s">
        <v>37</v>
      </c>
      <c r="M431">
        <v>331.14</v>
      </c>
      <c r="N431">
        <f t="shared" si="33"/>
        <v>9</v>
      </c>
      <c r="O431">
        <v>5</v>
      </c>
      <c r="P431" t="str">
        <f t="shared" si="34"/>
        <v>Yes</v>
      </c>
      <c r="Q431">
        <f>IF(Booking_Data[[#This Row],[Discounted Booking]]="Yes",1,0)</f>
        <v>1</v>
      </c>
      <c r="R431" t="s">
        <v>18</v>
      </c>
      <c r="S431">
        <f>IF(Booking_Data[[#This Row],[Cancellation Status]]="yes",1,0)</f>
        <v>1</v>
      </c>
    </row>
    <row r="432" spans="1:19" x14ac:dyDescent="0.35">
      <c r="A432" t="s">
        <v>880</v>
      </c>
      <c r="B432" t="s">
        <v>881</v>
      </c>
      <c r="C432" s="1">
        <v>45371</v>
      </c>
      <c r="D432" s="1">
        <v>45377</v>
      </c>
      <c r="E432" s="1">
        <v>45381</v>
      </c>
      <c r="F432" s="2">
        <f t="shared" si="30"/>
        <v>4</v>
      </c>
      <c r="G432" s="2" t="str">
        <f t="shared" si="31"/>
        <v>Wednesday</v>
      </c>
      <c r="H432" s="2" t="str">
        <f t="shared" si="32"/>
        <v>March</v>
      </c>
      <c r="I432" t="s">
        <v>14</v>
      </c>
      <c r="J432" t="s">
        <v>21</v>
      </c>
      <c r="K432" t="s">
        <v>49</v>
      </c>
      <c r="L432" t="s">
        <v>37</v>
      </c>
      <c r="M432">
        <v>1000.69</v>
      </c>
      <c r="N432">
        <f t="shared" si="33"/>
        <v>4</v>
      </c>
      <c r="O432">
        <v>20</v>
      </c>
      <c r="P432" t="str">
        <f t="shared" si="34"/>
        <v>Yes</v>
      </c>
      <c r="Q432">
        <f>IF(Booking_Data[[#This Row],[Discounted Booking]]="Yes",1,0)</f>
        <v>1</v>
      </c>
      <c r="R432" t="s">
        <v>24</v>
      </c>
      <c r="S432">
        <f>IF(Booking_Data[[#This Row],[Cancellation Status]]="yes",1,0)</f>
        <v>0</v>
      </c>
    </row>
    <row r="433" spans="1:19" x14ac:dyDescent="0.35">
      <c r="A433" t="s">
        <v>882</v>
      </c>
      <c r="B433" t="s">
        <v>883</v>
      </c>
      <c r="C433" s="1">
        <v>45371</v>
      </c>
      <c r="D433" s="1">
        <v>45377</v>
      </c>
      <c r="E433" s="1">
        <v>45378</v>
      </c>
      <c r="F433" s="2">
        <f t="shared" si="30"/>
        <v>4</v>
      </c>
      <c r="G433" s="2" t="str">
        <f t="shared" si="31"/>
        <v>Wednesday</v>
      </c>
      <c r="H433" s="2" t="str">
        <f t="shared" si="32"/>
        <v>March</v>
      </c>
      <c r="I433" t="s">
        <v>35</v>
      </c>
      <c r="J433" t="s">
        <v>21</v>
      </c>
      <c r="K433" t="s">
        <v>49</v>
      </c>
      <c r="L433" t="s">
        <v>23</v>
      </c>
      <c r="M433">
        <v>1370.83</v>
      </c>
      <c r="N433">
        <f t="shared" si="33"/>
        <v>1</v>
      </c>
      <c r="O433">
        <v>25</v>
      </c>
      <c r="P433" t="str">
        <f t="shared" si="34"/>
        <v>Yes</v>
      </c>
      <c r="Q433">
        <f>IF(Booking_Data[[#This Row],[Discounted Booking]]="Yes",1,0)</f>
        <v>1</v>
      </c>
      <c r="R433" t="s">
        <v>24</v>
      </c>
      <c r="S433">
        <f>IF(Booking_Data[[#This Row],[Cancellation Status]]="yes",1,0)</f>
        <v>0</v>
      </c>
    </row>
    <row r="434" spans="1:19" x14ac:dyDescent="0.35">
      <c r="A434" t="s">
        <v>884</v>
      </c>
      <c r="B434" t="s">
        <v>885</v>
      </c>
      <c r="C434" s="1">
        <v>45371</v>
      </c>
      <c r="D434" s="1">
        <v>45401</v>
      </c>
      <c r="E434" s="1">
        <v>45407</v>
      </c>
      <c r="F434" s="2">
        <f t="shared" si="30"/>
        <v>4</v>
      </c>
      <c r="G434" s="2" t="str">
        <f t="shared" si="31"/>
        <v>Wednesday</v>
      </c>
      <c r="H434" s="2" t="str">
        <f t="shared" si="32"/>
        <v>March</v>
      </c>
      <c r="I434" t="s">
        <v>14</v>
      </c>
      <c r="J434" t="s">
        <v>36</v>
      </c>
      <c r="K434" t="s">
        <v>49</v>
      </c>
      <c r="L434" t="s">
        <v>27</v>
      </c>
      <c r="M434">
        <v>796.63</v>
      </c>
      <c r="N434">
        <f t="shared" si="33"/>
        <v>6</v>
      </c>
      <c r="O434">
        <v>0</v>
      </c>
      <c r="P434" t="str">
        <f t="shared" si="34"/>
        <v>No</v>
      </c>
      <c r="Q434">
        <f>IF(Booking_Data[[#This Row],[Discounted Booking]]="Yes",1,0)</f>
        <v>0</v>
      </c>
      <c r="R434" t="s">
        <v>18</v>
      </c>
      <c r="S434">
        <f>IF(Booking_Data[[#This Row],[Cancellation Status]]="yes",1,0)</f>
        <v>1</v>
      </c>
    </row>
    <row r="435" spans="1:19" x14ac:dyDescent="0.35">
      <c r="A435" t="s">
        <v>886</v>
      </c>
      <c r="B435" t="s">
        <v>887</v>
      </c>
      <c r="C435" s="1">
        <v>45371</v>
      </c>
      <c r="D435" s="1">
        <v>45392</v>
      </c>
      <c r="E435" s="1">
        <v>45394</v>
      </c>
      <c r="F435" s="2">
        <f t="shared" si="30"/>
        <v>4</v>
      </c>
      <c r="G435" s="2" t="str">
        <f t="shared" si="31"/>
        <v>Wednesday</v>
      </c>
      <c r="H435" s="2" t="str">
        <f t="shared" si="32"/>
        <v>March</v>
      </c>
      <c r="I435" t="s">
        <v>35</v>
      </c>
      <c r="J435" t="s">
        <v>15</v>
      </c>
      <c r="K435" t="s">
        <v>16</v>
      </c>
      <c r="L435" t="s">
        <v>23</v>
      </c>
      <c r="M435">
        <v>1143.9100000000001</v>
      </c>
      <c r="N435">
        <f t="shared" si="33"/>
        <v>2</v>
      </c>
      <c r="O435">
        <v>0</v>
      </c>
      <c r="P435" t="str">
        <f t="shared" si="34"/>
        <v>No</v>
      </c>
      <c r="Q435">
        <f>IF(Booking_Data[[#This Row],[Discounted Booking]]="Yes",1,0)</f>
        <v>0</v>
      </c>
      <c r="R435" t="s">
        <v>24</v>
      </c>
      <c r="S435">
        <f>IF(Booking_Data[[#This Row],[Cancellation Status]]="yes",1,0)</f>
        <v>0</v>
      </c>
    </row>
    <row r="436" spans="1:19" x14ac:dyDescent="0.35">
      <c r="A436" t="s">
        <v>888</v>
      </c>
      <c r="B436" t="s">
        <v>889</v>
      </c>
      <c r="C436" s="1">
        <v>45371</v>
      </c>
      <c r="D436" s="1">
        <v>45391</v>
      </c>
      <c r="E436" s="1">
        <v>45400</v>
      </c>
      <c r="F436" s="2">
        <f t="shared" si="30"/>
        <v>4</v>
      </c>
      <c r="G436" s="2" t="str">
        <f t="shared" si="31"/>
        <v>Wednesday</v>
      </c>
      <c r="H436" s="2" t="str">
        <f t="shared" si="32"/>
        <v>March</v>
      </c>
      <c r="I436" t="s">
        <v>30</v>
      </c>
      <c r="J436" t="s">
        <v>31</v>
      </c>
      <c r="K436" t="s">
        <v>58</v>
      </c>
      <c r="L436" t="s">
        <v>37</v>
      </c>
      <c r="M436">
        <v>410.71</v>
      </c>
      <c r="N436">
        <f t="shared" si="33"/>
        <v>9</v>
      </c>
      <c r="O436">
        <v>20</v>
      </c>
      <c r="P436" t="str">
        <f t="shared" si="34"/>
        <v>Yes</v>
      </c>
      <c r="Q436">
        <f>IF(Booking_Data[[#This Row],[Discounted Booking]]="Yes",1,0)</f>
        <v>1</v>
      </c>
      <c r="R436" t="s">
        <v>18</v>
      </c>
      <c r="S436">
        <f>IF(Booking_Data[[#This Row],[Cancellation Status]]="yes",1,0)</f>
        <v>1</v>
      </c>
    </row>
    <row r="437" spans="1:19" x14ac:dyDescent="0.35">
      <c r="A437" t="s">
        <v>890</v>
      </c>
      <c r="B437" t="s">
        <v>891</v>
      </c>
      <c r="C437" s="1">
        <v>45371</v>
      </c>
      <c r="D437" s="1">
        <v>45384</v>
      </c>
      <c r="E437" s="1">
        <v>45392</v>
      </c>
      <c r="F437" s="2">
        <f t="shared" si="30"/>
        <v>4</v>
      </c>
      <c r="G437" s="2" t="str">
        <f t="shared" si="31"/>
        <v>Wednesday</v>
      </c>
      <c r="H437" s="2" t="str">
        <f t="shared" si="32"/>
        <v>March</v>
      </c>
      <c r="I437" t="s">
        <v>30</v>
      </c>
      <c r="J437" t="s">
        <v>36</v>
      </c>
      <c r="K437" t="s">
        <v>58</v>
      </c>
      <c r="L437" t="s">
        <v>27</v>
      </c>
      <c r="M437">
        <v>1001.19</v>
      </c>
      <c r="N437">
        <f t="shared" si="33"/>
        <v>8</v>
      </c>
      <c r="O437">
        <v>15</v>
      </c>
      <c r="P437" t="str">
        <f t="shared" si="34"/>
        <v>Yes</v>
      </c>
      <c r="Q437">
        <f>IF(Booking_Data[[#This Row],[Discounted Booking]]="Yes",1,0)</f>
        <v>1</v>
      </c>
      <c r="R437" t="s">
        <v>18</v>
      </c>
      <c r="S437">
        <f>IF(Booking_Data[[#This Row],[Cancellation Status]]="yes",1,0)</f>
        <v>1</v>
      </c>
    </row>
    <row r="438" spans="1:19" x14ac:dyDescent="0.35">
      <c r="A438" t="s">
        <v>892</v>
      </c>
      <c r="B438" t="s">
        <v>893</v>
      </c>
      <c r="C438" s="1">
        <v>45371</v>
      </c>
      <c r="D438" s="1">
        <v>45378</v>
      </c>
      <c r="E438" s="1">
        <v>45382</v>
      </c>
      <c r="F438" s="2">
        <f t="shared" si="30"/>
        <v>4</v>
      </c>
      <c r="G438" s="2" t="str">
        <f t="shared" si="31"/>
        <v>Wednesday</v>
      </c>
      <c r="H438" s="2" t="str">
        <f t="shared" si="32"/>
        <v>March</v>
      </c>
      <c r="I438" t="s">
        <v>35</v>
      </c>
      <c r="J438" t="s">
        <v>36</v>
      </c>
      <c r="K438" t="s">
        <v>42</v>
      </c>
      <c r="L438" t="s">
        <v>27</v>
      </c>
      <c r="M438">
        <v>1321.71</v>
      </c>
      <c r="N438">
        <f t="shared" si="33"/>
        <v>4</v>
      </c>
      <c r="O438">
        <v>15</v>
      </c>
      <c r="P438" t="str">
        <f t="shared" si="34"/>
        <v>Yes</v>
      </c>
      <c r="Q438">
        <f>IF(Booking_Data[[#This Row],[Discounted Booking]]="Yes",1,0)</f>
        <v>1</v>
      </c>
      <c r="R438" t="s">
        <v>18</v>
      </c>
      <c r="S438">
        <f>IF(Booking_Data[[#This Row],[Cancellation Status]]="yes",1,0)</f>
        <v>1</v>
      </c>
    </row>
    <row r="439" spans="1:19" x14ac:dyDescent="0.35">
      <c r="A439" t="s">
        <v>894</v>
      </c>
      <c r="B439" t="s">
        <v>895</v>
      </c>
      <c r="C439" s="1">
        <v>45371</v>
      </c>
      <c r="D439" s="1">
        <v>45398</v>
      </c>
      <c r="E439" s="1">
        <v>45403</v>
      </c>
      <c r="F439" s="2">
        <f t="shared" si="30"/>
        <v>4</v>
      </c>
      <c r="G439" s="2" t="str">
        <f t="shared" si="31"/>
        <v>Wednesday</v>
      </c>
      <c r="H439" s="2" t="str">
        <f t="shared" si="32"/>
        <v>March</v>
      </c>
      <c r="I439" t="s">
        <v>35</v>
      </c>
      <c r="J439" t="s">
        <v>21</v>
      </c>
      <c r="K439" t="s">
        <v>42</v>
      </c>
      <c r="L439" t="s">
        <v>27</v>
      </c>
      <c r="M439">
        <v>845</v>
      </c>
      <c r="N439">
        <f t="shared" si="33"/>
        <v>5</v>
      </c>
      <c r="O439">
        <v>5</v>
      </c>
      <c r="P439" t="str">
        <f t="shared" si="34"/>
        <v>Yes</v>
      </c>
      <c r="Q439">
        <f>IF(Booking_Data[[#This Row],[Discounted Booking]]="Yes",1,0)</f>
        <v>1</v>
      </c>
      <c r="R439" t="s">
        <v>18</v>
      </c>
      <c r="S439">
        <f>IF(Booking_Data[[#This Row],[Cancellation Status]]="yes",1,0)</f>
        <v>1</v>
      </c>
    </row>
    <row r="440" spans="1:19" x14ac:dyDescent="0.35">
      <c r="A440" t="s">
        <v>896</v>
      </c>
      <c r="B440" t="s">
        <v>897</v>
      </c>
      <c r="C440" s="1">
        <v>45371</v>
      </c>
      <c r="D440" s="1">
        <v>45389</v>
      </c>
      <c r="E440" s="1">
        <v>45398</v>
      </c>
      <c r="F440" s="2">
        <f t="shared" si="30"/>
        <v>4</v>
      </c>
      <c r="G440" s="2" t="str">
        <f t="shared" si="31"/>
        <v>Wednesday</v>
      </c>
      <c r="H440" s="2" t="str">
        <f t="shared" si="32"/>
        <v>March</v>
      </c>
      <c r="I440" t="s">
        <v>14</v>
      </c>
      <c r="J440" t="s">
        <v>21</v>
      </c>
      <c r="K440" t="s">
        <v>58</v>
      </c>
      <c r="L440" t="s">
        <v>37</v>
      </c>
      <c r="M440">
        <v>850.32</v>
      </c>
      <c r="N440">
        <f t="shared" si="33"/>
        <v>9</v>
      </c>
      <c r="O440">
        <v>0</v>
      </c>
      <c r="P440" t="str">
        <f t="shared" si="34"/>
        <v>No</v>
      </c>
      <c r="Q440">
        <f>IF(Booking_Data[[#This Row],[Discounted Booking]]="Yes",1,0)</f>
        <v>0</v>
      </c>
      <c r="R440" t="s">
        <v>18</v>
      </c>
      <c r="S440">
        <f>IF(Booking_Data[[#This Row],[Cancellation Status]]="yes",1,0)</f>
        <v>1</v>
      </c>
    </row>
    <row r="441" spans="1:19" x14ac:dyDescent="0.35">
      <c r="A441" t="s">
        <v>898</v>
      </c>
      <c r="B441" t="s">
        <v>899</v>
      </c>
      <c r="C441" s="1">
        <v>45371</v>
      </c>
      <c r="D441" s="1">
        <v>45387</v>
      </c>
      <c r="E441" s="1">
        <v>45397</v>
      </c>
      <c r="F441" s="2">
        <f t="shared" si="30"/>
        <v>4</v>
      </c>
      <c r="G441" s="2" t="str">
        <f t="shared" si="31"/>
        <v>Wednesday</v>
      </c>
      <c r="H441" s="2" t="str">
        <f t="shared" si="32"/>
        <v>March</v>
      </c>
      <c r="I441" t="s">
        <v>35</v>
      </c>
      <c r="J441" t="s">
        <v>36</v>
      </c>
      <c r="K441" t="s">
        <v>22</v>
      </c>
      <c r="L441" t="s">
        <v>37</v>
      </c>
      <c r="M441">
        <v>1081.78</v>
      </c>
      <c r="N441">
        <f t="shared" si="33"/>
        <v>10</v>
      </c>
      <c r="O441">
        <v>0</v>
      </c>
      <c r="P441" t="str">
        <f t="shared" si="34"/>
        <v>No</v>
      </c>
      <c r="Q441">
        <f>IF(Booking_Data[[#This Row],[Discounted Booking]]="Yes",1,0)</f>
        <v>0</v>
      </c>
      <c r="R441" t="s">
        <v>18</v>
      </c>
      <c r="S441">
        <f>IF(Booking_Data[[#This Row],[Cancellation Status]]="yes",1,0)</f>
        <v>1</v>
      </c>
    </row>
    <row r="442" spans="1:19" x14ac:dyDescent="0.35">
      <c r="A442" t="s">
        <v>900</v>
      </c>
      <c r="B442" t="s">
        <v>901</v>
      </c>
      <c r="C442" s="1">
        <v>45371</v>
      </c>
      <c r="D442" s="1">
        <v>45372</v>
      </c>
      <c r="E442" s="1">
        <v>45380</v>
      </c>
      <c r="F442" s="2">
        <f t="shared" si="30"/>
        <v>4</v>
      </c>
      <c r="G442" s="2" t="str">
        <f t="shared" si="31"/>
        <v>Wednesday</v>
      </c>
      <c r="H442" s="2" t="str">
        <f t="shared" si="32"/>
        <v>March</v>
      </c>
      <c r="I442" t="s">
        <v>35</v>
      </c>
      <c r="J442" t="s">
        <v>15</v>
      </c>
      <c r="K442" t="s">
        <v>49</v>
      </c>
      <c r="L442" t="s">
        <v>27</v>
      </c>
      <c r="M442">
        <v>818.79</v>
      </c>
      <c r="N442">
        <f t="shared" si="33"/>
        <v>8</v>
      </c>
      <c r="O442">
        <v>25</v>
      </c>
      <c r="P442" t="str">
        <f t="shared" si="34"/>
        <v>Yes</v>
      </c>
      <c r="Q442">
        <f>IF(Booking_Data[[#This Row],[Discounted Booking]]="Yes",1,0)</f>
        <v>1</v>
      </c>
      <c r="R442" t="s">
        <v>24</v>
      </c>
      <c r="S442">
        <f>IF(Booking_Data[[#This Row],[Cancellation Status]]="yes",1,0)</f>
        <v>0</v>
      </c>
    </row>
    <row r="443" spans="1:19" x14ac:dyDescent="0.35">
      <c r="A443" t="s">
        <v>902</v>
      </c>
      <c r="B443" t="s">
        <v>903</v>
      </c>
      <c r="C443" s="1">
        <v>45372</v>
      </c>
      <c r="D443" s="1">
        <v>45385</v>
      </c>
      <c r="E443" s="1">
        <v>45391</v>
      </c>
      <c r="F443" s="2">
        <f t="shared" si="30"/>
        <v>4</v>
      </c>
      <c r="G443" s="2" t="str">
        <f t="shared" si="31"/>
        <v>Thursday</v>
      </c>
      <c r="H443" s="2" t="str">
        <f t="shared" si="32"/>
        <v>March</v>
      </c>
      <c r="I443" t="s">
        <v>30</v>
      </c>
      <c r="J443" t="s">
        <v>15</v>
      </c>
      <c r="K443" t="s">
        <v>49</v>
      </c>
      <c r="L443" t="s">
        <v>37</v>
      </c>
      <c r="M443">
        <v>617.07000000000005</v>
      </c>
      <c r="N443">
        <f t="shared" si="33"/>
        <v>6</v>
      </c>
      <c r="O443">
        <v>5</v>
      </c>
      <c r="P443" t="str">
        <f t="shared" si="34"/>
        <v>Yes</v>
      </c>
      <c r="Q443">
        <f>IF(Booking_Data[[#This Row],[Discounted Booking]]="Yes",1,0)</f>
        <v>1</v>
      </c>
      <c r="R443" t="s">
        <v>18</v>
      </c>
      <c r="S443">
        <f>IF(Booking_Data[[#This Row],[Cancellation Status]]="yes",1,0)</f>
        <v>1</v>
      </c>
    </row>
    <row r="444" spans="1:19" x14ac:dyDescent="0.35">
      <c r="A444" t="s">
        <v>904</v>
      </c>
      <c r="B444" t="s">
        <v>905</v>
      </c>
      <c r="C444" s="1">
        <v>45372</v>
      </c>
      <c r="D444" s="1">
        <v>45373</v>
      </c>
      <c r="E444" s="1">
        <v>45375</v>
      </c>
      <c r="F444" s="2">
        <f t="shared" si="30"/>
        <v>4</v>
      </c>
      <c r="G444" s="2" t="str">
        <f t="shared" si="31"/>
        <v>Thursday</v>
      </c>
      <c r="H444" s="2" t="str">
        <f t="shared" si="32"/>
        <v>March</v>
      </c>
      <c r="I444" t="s">
        <v>14</v>
      </c>
      <c r="J444" t="s">
        <v>31</v>
      </c>
      <c r="K444" t="s">
        <v>58</v>
      </c>
      <c r="L444" t="s">
        <v>17</v>
      </c>
      <c r="M444">
        <v>1007.37</v>
      </c>
      <c r="N444">
        <f t="shared" si="33"/>
        <v>2</v>
      </c>
      <c r="O444">
        <v>25</v>
      </c>
      <c r="P444" t="str">
        <f t="shared" si="34"/>
        <v>Yes</v>
      </c>
      <c r="Q444">
        <f>IF(Booking_Data[[#This Row],[Discounted Booking]]="Yes",1,0)</f>
        <v>1</v>
      </c>
      <c r="R444" t="s">
        <v>18</v>
      </c>
      <c r="S444">
        <f>IF(Booking_Data[[#This Row],[Cancellation Status]]="yes",1,0)</f>
        <v>1</v>
      </c>
    </row>
    <row r="445" spans="1:19" x14ac:dyDescent="0.35">
      <c r="A445" t="s">
        <v>906</v>
      </c>
      <c r="B445" t="s">
        <v>895</v>
      </c>
      <c r="C445" s="1">
        <v>45372</v>
      </c>
      <c r="D445" s="1">
        <v>45380</v>
      </c>
      <c r="E445" s="1">
        <v>45381</v>
      </c>
      <c r="F445" s="2">
        <f t="shared" si="30"/>
        <v>4</v>
      </c>
      <c r="G445" s="2" t="str">
        <f t="shared" si="31"/>
        <v>Thursday</v>
      </c>
      <c r="H445" s="2" t="str">
        <f t="shared" si="32"/>
        <v>March</v>
      </c>
      <c r="I445" t="s">
        <v>30</v>
      </c>
      <c r="J445" t="s">
        <v>31</v>
      </c>
      <c r="K445" t="s">
        <v>58</v>
      </c>
      <c r="L445" t="s">
        <v>37</v>
      </c>
      <c r="M445">
        <v>969.75</v>
      </c>
      <c r="N445">
        <f t="shared" si="33"/>
        <v>1</v>
      </c>
      <c r="O445">
        <v>0</v>
      </c>
      <c r="P445" t="str">
        <f t="shared" si="34"/>
        <v>No</v>
      </c>
      <c r="Q445">
        <f>IF(Booking_Data[[#This Row],[Discounted Booking]]="Yes",1,0)</f>
        <v>0</v>
      </c>
      <c r="R445" t="s">
        <v>18</v>
      </c>
      <c r="S445">
        <f>IF(Booking_Data[[#This Row],[Cancellation Status]]="yes",1,0)</f>
        <v>1</v>
      </c>
    </row>
    <row r="446" spans="1:19" x14ac:dyDescent="0.35">
      <c r="A446" t="s">
        <v>907</v>
      </c>
      <c r="B446" t="s">
        <v>908</v>
      </c>
      <c r="C446" s="1">
        <v>45373</v>
      </c>
      <c r="D446" s="1">
        <v>45391</v>
      </c>
      <c r="E446" s="1">
        <v>45394</v>
      </c>
      <c r="F446" s="2">
        <f t="shared" si="30"/>
        <v>4</v>
      </c>
      <c r="G446" s="2" t="str">
        <f t="shared" si="31"/>
        <v>Friday</v>
      </c>
      <c r="H446" s="2" t="str">
        <f t="shared" si="32"/>
        <v>March</v>
      </c>
      <c r="I446" t="s">
        <v>14</v>
      </c>
      <c r="J446" t="s">
        <v>31</v>
      </c>
      <c r="K446" t="s">
        <v>16</v>
      </c>
      <c r="L446" t="s">
        <v>27</v>
      </c>
      <c r="M446">
        <v>1101.3699999999999</v>
      </c>
      <c r="N446">
        <f t="shared" si="33"/>
        <v>3</v>
      </c>
      <c r="O446">
        <v>10</v>
      </c>
      <c r="P446" t="str">
        <f t="shared" si="34"/>
        <v>Yes</v>
      </c>
      <c r="Q446">
        <f>IF(Booking_Data[[#This Row],[Discounted Booking]]="Yes",1,0)</f>
        <v>1</v>
      </c>
      <c r="R446" t="s">
        <v>18</v>
      </c>
      <c r="S446">
        <f>IF(Booking_Data[[#This Row],[Cancellation Status]]="yes",1,0)</f>
        <v>1</v>
      </c>
    </row>
    <row r="447" spans="1:19" x14ac:dyDescent="0.35">
      <c r="A447" t="s">
        <v>909</v>
      </c>
      <c r="B447" t="s">
        <v>910</v>
      </c>
      <c r="C447" s="1">
        <v>45373</v>
      </c>
      <c r="D447" s="1">
        <v>45391</v>
      </c>
      <c r="E447" s="1">
        <v>45392</v>
      </c>
      <c r="F447" s="2">
        <f t="shared" si="30"/>
        <v>4</v>
      </c>
      <c r="G447" s="2" t="str">
        <f t="shared" si="31"/>
        <v>Friday</v>
      </c>
      <c r="H447" s="2" t="str">
        <f t="shared" si="32"/>
        <v>March</v>
      </c>
      <c r="I447" t="s">
        <v>30</v>
      </c>
      <c r="J447" t="s">
        <v>31</v>
      </c>
      <c r="K447" t="s">
        <v>32</v>
      </c>
      <c r="L447" t="s">
        <v>23</v>
      </c>
      <c r="M447">
        <v>782.02</v>
      </c>
      <c r="N447">
        <f t="shared" si="33"/>
        <v>1</v>
      </c>
      <c r="O447">
        <v>20</v>
      </c>
      <c r="P447" t="str">
        <f t="shared" si="34"/>
        <v>Yes</v>
      </c>
      <c r="Q447">
        <f>IF(Booking_Data[[#This Row],[Discounted Booking]]="Yes",1,0)</f>
        <v>1</v>
      </c>
      <c r="R447" t="s">
        <v>24</v>
      </c>
      <c r="S447">
        <f>IF(Booking_Data[[#This Row],[Cancellation Status]]="yes",1,0)</f>
        <v>0</v>
      </c>
    </row>
    <row r="448" spans="1:19" x14ac:dyDescent="0.35">
      <c r="A448" t="s">
        <v>911</v>
      </c>
      <c r="B448" t="s">
        <v>912</v>
      </c>
      <c r="C448" s="1">
        <v>45373</v>
      </c>
      <c r="D448" s="1">
        <v>45397</v>
      </c>
      <c r="E448" s="1">
        <v>45399</v>
      </c>
      <c r="F448" s="2">
        <f t="shared" si="30"/>
        <v>4</v>
      </c>
      <c r="G448" s="2" t="str">
        <f t="shared" si="31"/>
        <v>Friday</v>
      </c>
      <c r="H448" s="2" t="str">
        <f t="shared" si="32"/>
        <v>March</v>
      </c>
      <c r="I448" t="s">
        <v>35</v>
      </c>
      <c r="J448" t="s">
        <v>31</v>
      </c>
      <c r="K448" t="s">
        <v>49</v>
      </c>
      <c r="L448" t="s">
        <v>17</v>
      </c>
      <c r="M448">
        <v>858.49</v>
      </c>
      <c r="N448">
        <f t="shared" si="33"/>
        <v>2</v>
      </c>
      <c r="O448">
        <v>25</v>
      </c>
      <c r="P448" t="str">
        <f t="shared" si="34"/>
        <v>Yes</v>
      </c>
      <c r="Q448">
        <f>IF(Booking_Data[[#This Row],[Discounted Booking]]="Yes",1,0)</f>
        <v>1</v>
      </c>
      <c r="R448" t="s">
        <v>24</v>
      </c>
      <c r="S448">
        <f>IF(Booking_Data[[#This Row],[Cancellation Status]]="yes",1,0)</f>
        <v>0</v>
      </c>
    </row>
    <row r="449" spans="1:19" x14ac:dyDescent="0.35">
      <c r="A449" t="s">
        <v>913</v>
      </c>
      <c r="B449" t="s">
        <v>914</v>
      </c>
      <c r="C449" s="1">
        <v>45373</v>
      </c>
      <c r="D449" s="1">
        <v>45381</v>
      </c>
      <c r="E449" s="1">
        <v>45384</v>
      </c>
      <c r="F449" s="2">
        <f t="shared" si="30"/>
        <v>4</v>
      </c>
      <c r="G449" s="2" t="str">
        <f t="shared" si="31"/>
        <v>Friday</v>
      </c>
      <c r="H449" s="2" t="str">
        <f t="shared" si="32"/>
        <v>March</v>
      </c>
      <c r="I449" t="s">
        <v>35</v>
      </c>
      <c r="J449" t="s">
        <v>15</v>
      </c>
      <c r="K449" t="s">
        <v>58</v>
      </c>
      <c r="L449" t="s">
        <v>23</v>
      </c>
      <c r="M449">
        <v>177.93</v>
      </c>
      <c r="N449">
        <f t="shared" si="33"/>
        <v>3</v>
      </c>
      <c r="O449">
        <v>25</v>
      </c>
      <c r="P449" t="str">
        <f t="shared" si="34"/>
        <v>Yes</v>
      </c>
      <c r="Q449">
        <f>IF(Booking_Data[[#This Row],[Discounted Booking]]="Yes",1,0)</f>
        <v>1</v>
      </c>
      <c r="R449" t="s">
        <v>18</v>
      </c>
      <c r="S449">
        <f>IF(Booking_Data[[#This Row],[Cancellation Status]]="yes",1,0)</f>
        <v>1</v>
      </c>
    </row>
    <row r="450" spans="1:19" x14ac:dyDescent="0.35">
      <c r="A450" t="s">
        <v>915</v>
      </c>
      <c r="B450" t="s">
        <v>916</v>
      </c>
      <c r="C450" s="1">
        <v>45374</v>
      </c>
      <c r="D450" s="1">
        <v>45380</v>
      </c>
      <c r="E450" s="1">
        <v>45381</v>
      </c>
      <c r="F450" s="2">
        <f t="shared" ref="F450:F501" si="35">WEEKNUM(C450) - WEEKNUM(DATE(YEAR(C450), MONTH(C450), 1)) + 1</f>
        <v>4</v>
      </c>
      <c r="G450" s="2" t="str">
        <f t="shared" ref="G450:G501" si="36">TEXT(C450,"dddd")</f>
        <v>Saturday</v>
      </c>
      <c r="H450" s="2" t="str">
        <f t="shared" ref="H450:H501" si="37">TEXT(C450, "mmmm")</f>
        <v>March</v>
      </c>
      <c r="I450" t="s">
        <v>14</v>
      </c>
      <c r="J450" t="s">
        <v>21</v>
      </c>
      <c r="K450" t="s">
        <v>22</v>
      </c>
      <c r="L450" t="s">
        <v>27</v>
      </c>
      <c r="M450">
        <v>1099.5999999999999</v>
      </c>
      <c r="N450">
        <f t="shared" ref="N450:N501" si="38">_xlfn.DAYS(E450,D450)</f>
        <v>1</v>
      </c>
      <c r="O450">
        <v>20</v>
      </c>
      <c r="P450" t="str">
        <f t="shared" si="34"/>
        <v>Yes</v>
      </c>
      <c r="Q450">
        <f>IF(Booking_Data[[#This Row],[Discounted Booking]]="Yes",1,0)</f>
        <v>1</v>
      </c>
      <c r="R450" t="s">
        <v>24</v>
      </c>
      <c r="S450">
        <f>IF(Booking_Data[[#This Row],[Cancellation Status]]="yes",1,0)</f>
        <v>0</v>
      </c>
    </row>
    <row r="451" spans="1:19" x14ac:dyDescent="0.35">
      <c r="A451" t="s">
        <v>917</v>
      </c>
      <c r="B451" t="s">
        <v>918</v>
      </c>
      <c r="C451" s="1">
        <v>45374</v>
      </c>
      <c r="D451" s="1">
        <v>45388</v>
      </c>
      <c r="E451" s="1">
        <v>45392</v>
      </c>
      <c r="F451" s="2">
        <f t="shared" si="35"/>
        <v>4</v>
      </c>
      <c r="G451" s="2" t="str">
        <f t="shared" si="36"/>
        <v>Saturday</v>
      </c>
      <c r="H451" s="2" t="str">
        <f t="shared" si="37"/>
        <v>March</v>
      </c>
      <c r="I451" t="s">
        <v>30</v>
      </c>
      <c r="J451" t="s">
        <v>15</v>
      </c>
      <c r="K451" t="s">
        <v>42</v>
      </c>
      <c r="L451" t="s">
        <v>17</v>
      </c>
      <c r="M451">
        <v>717.28</v>
      </c>
      <c r="N451">
        <f t="shared" si="38"/>
        <v>4</v>
      </c>
      <c r="O451">
        <v>0</v>
      </c>
      <c r="P451" t="str">
        <f t="shared" ref="P451:P501" si="39">IF(O451&gt;0, "Yes","No")</f>
        <v>No</v>
      </c>
      <c r="Q451">
        <f>IF(Booking_Data[[#This Row],[Discounted Booking]]="Yes",1,0)</f>
        <v>0</v>
      </c>
      <c r="R451" t="s">
        <v>18</v>
      </c>
      <c r="S451">
        <f>IF(Booking_Data[[#This Row],[Cancellation Status]]="yes",1,0)</f>
        <v>1</v>
      </c>
    </row>
    <row r="452" spans="1:19" x14ac:dyDescent="0.35">
      <c r="A452" t="s">
        <v>919</v>
      </c>
      <c r="B452" t="s">
        <v>920</v>
      </c>
      <c r="C452" s="1">
        <v>45374</v>
      </c>
      <c r="D452" s="1">
        <v>45399</v>
      </c>
      <c r="E452" s="1">
        <v>45406</v>
      </c>
      <c r="F452" s="2">
        <f t="shared" si="35"/>
        <v>4</v>
      </c>
      <c r="G452" s="2" t="str">
        <f t="shared" si="36"/>
        <v>Saturday</v>
      </c>
      <c r="H452" s="2" t="str">
        <f t="shared" si="37"/>
        <v>March</v>
      </c>
      <c r="I452" t="s">
        <v>30</v>
      </c>
      <c r="J452" t="s">
        <v>15</v>
      </c>
      <c r="K452" t="s">
        <v>42</v>
      </c>
      <c r="L452" t="s">
        <v>17</v>
      </c>
      <c r="M452">
        <v>599.16</v>
      </c>
      <c r="N452">
        <f t="shared" si="38"/>
        <v>7</v>
      </c>
      <c r="O452">
        <v>25</v>
      </c>
      <c r="P452" t="str">
        <f t="shared" si="39"/>
        <v>Yes</v>
      </c>
      <c r="Q452">
        <f>IF(Booking_Data[[#This Row],[Discounted Booking]]="Yes",1,0)</f>
        <v>1</v>
      </c>
      <c r="R452" t="s">
        <v>24</v>
      </c>
      <c r="S452">
        <f>IF(Booking_Data[[#This Row],[Cancellation Status]]="yes",1,0)</f>
        <v>0</v>
      </c>
    </row>
    <row r="453" spans="1:19" x14ac:dyDescent="0.35">
      <c r="A453" t="s">
        <v>921</v>
      </c>
      <c r="B453" t="s">
        <v>922</v>
      </c>
      <c r="C453" s="1">
        <v>45374</v>
      </c>
      <c r="D453" s="1">
        <v>45397</v>
      </c>
      <c r="E453" s="1">
        <v>45406</v>
      </c>
      <c r="F453" s="2">
        <f t="shared" si="35"/>
        <v>4</v>
      </c>
      <c r="G453" s="2" t="str">
        <f t="shared" si="36"/>
        <v>Saturday</v>
      </c>
      <c r="H453" s="2" t="str">
        <f t="shared" si="37"/>
        <v>March</v>
      </c>
      <c r="I453" t="s">
        <v>35</v>
      </c>
      <c r="J453" t="s">
        <v>21</v>
      </c>
      <c r="K453" t="s">
        <v>16</v>
      </c>
      <c r="L453" t="s">
        <v>27</v>
      </c>
      <c r="M453">
        <v>1178.1500000000001</v>
      </c>
      <c r="N453">
        <f t="shared" si="38"/>
        <v>9</v>
      </c>
      <c r="O453">
        <v>15</v>
      </c>
      <c r="P453" t="str">
        <f t="shared" si="39"/>
        <v>Yes</v>
      </c>
      <c r="Q453">
        <f>IF(Booking_Data[[#This Row],[Discounted Booking]]="Yes",1,0)</f>
        <v>1</v>
      </c>
      <c r="R453" t="s">
        <v>18</v>
      </c>
      <c r="S453">
        <f>IF(Booking_Data[[#This Row],[Cancellation Status]]="yes",1,0)</f>
        <v>1</v>
      </c>
    </row>
    <row r="454" spans="1:19" x14ac:dyDescent="0.35">
      <c r="A454" t="s">
        <v>923</v>
      </c>
      <c r="B454" t="s">
        <v>924</v>
      </c>
      <c r="C454" s="1">
        <v>45374</v>
      </c>
      <c r="D454" s="1">
        <v>45399</v>
      </c>
      <c r="E454" s="1">
        <v>45404</v>
      </c>
      <c r="F454" s="2">
        <f t="shared" si="35"/>
        <v>4</v>
      </c>
      <c r="G454" s="2" t="str">
        <f t="shared" si="36"/>
        <v>Saturday</v>
      </c>
      <c r="H454" s="2" t="str">
        <f t="shared" si="37"/>
        <v>March</v>
      </c>
      <c r="I454" t="s">
        <v>14</v>
      </c>
      <c r="J454" t="s">
        <v>15</v>
      </c>
      <c r="K454" t="s">
        <v>58</v>
      </c>
      <c r="L454" t="s">
        <v>17</v>
      </c>
      <c r="M454">
        <v>658.26</v>
      </c>
      <c r="N454">
        <f t="shared" si="38"/>
        <v>5</v>
      </c>
      <c r="O454">
        <v>10</v>
      </c>
      <c r="P454" t="str">
        <f t="shared" si="39"/>
        <v>Yes</v>
      </c>
      <c r="Q454">
        <f>IF(Booking_Data[[#This Row],[Discounted Booking]]="Yes",1,0)</f>
        <v>1</v>
      </c>
      <c r="R454" t="s">
        <v>24</v>
      </c>
      <c r="S454">
        <f>IF(Booking_Data[[#This Row],[Cancellation Status]]="yes",1,0)</f>
        <v>0</v>
      </c>
    </row>
    <row r="455" spans="1:19" x14ac:dyDescent="0.35">
      <c r="A455" t="s">
        <v>925</v>
      </c>
      <c r="B455" t="s">
        <v>926</v>
      </c>
      <c r="C455" s="1">
        <v>45374</v>
      </c>
      <c r="D455" s="1">
        <v>45396</v>
      </c>
      <c r="E455" s="1">
        <v>45406</v>
      </c>
      <c r="F455" s="2">
        <f t="shared" si="35"/>
        <v>4</v>
      </c>
      <c r="G455" s="2" t="str">
        <f t="shared" si="36"/>
        <v>Saturday</v>
      </c>
      <c r="H455" s="2" t="str">
        <f t="shared" si="37"/>
        <v>March</v>
      </c>
      <c r="I455" t="s">
        <v>14</v>
      </c>
      <c r="J455" t="s">
        <v>31</v>
      </c>
      <c r="K455" t="s">
        <v>22</v>
      </c>
      <c r="L455" t="s">
        <v>27</v>
      </c>
      <c r="M455">
        <v>165.46</v>
      </c>
      <c r="N455">
        <f t="shared" si="38"/>
        <v>10</v>
      </c>
      <c r="O455">
        <v>10</v>
      </c>
      <c r="P455" t="str">
        <f t="shared" si="39"/>
        <v>Yes</v>
      </c>
      <c r="Q455">
        <f>IF(Booking_Data[[#This Row],[Discounted Booking]]="Yes",1,0)</f>
        <v>1</v>
      </c>
      <c r="R455" t="s">
        <v>18</v>
      </c>
      <c r="S455">
        <f>IF(Booking_Data[[#This Row],[Cancellation Status]]="yes",1,0)</f>
        <v>1</v>
      </c>
    </row>
    <row r="456" spans="1:19" x14ac:dyDescent="0.35">
      <c r="A456" t="s">
        <v>927</v>
      </c>
      <c r="B456" t="s">
        <v>928</v>
      </c>
      <c r="C456" s="1">
        <v>45375</v>
      </c>
      <c r="D456" s="1">
        <v>45392</v>
      </c>
      <c r="E456" s="1">
        <v>45399</v>
      </c>
      <c r="F456" s="2">
        <f t="shared" si="35"/>
        <v>5</v>
      </c>
      <c r="G456" s="2" t="str">
        <f t="shared" si="36"/>
        <v>Sunday</v>
      </c>
      <c r="H456" s="2" t="str">
        <f t="shared" si="37"/>
        <v>March</v>
      </c>
      <c r="I456" t="s">
        <v>14</v>
      </c>
      <c r="J456" t="s">
        <v>31</v>
      </c>
      <c r="K456" t="s">
        <v>42</v>
      </c>
      <c r="L456" t="s">
        <v>23</v>
      </c>
      <c r="M456">
        <v>1386.89</v>
      </c>
      <c r="N456">
        <f t="shared" si="38"/>
        <v>7</v>
      </c>
      <c r="O456">
        <v>0</v>
      </c>
      <c r="P456" t="str">
        <f t="shared" si="39"/>
        <v>No</v>
      </c>
      <c r="Q456">
        <f>IF(Booking_Data[[#This Row],[Discounted Booking]]="Yes",1,0)</f>
        <v>0</v>
      </c>
      <c r="R456" t="s">
        <v>18</v>
      </c>
      <c r="S456">
        <f>IF(Booking_Data[[#This Row],[Cancellation Status]]="yes",1,0)</f>
        <v>1</v>
      </c>
    </row>
    <row r="457" spans="1:19" x14ac:dyDescent="0.35">
      <c r="A457" t="s">
        <v>929</v>
      </c>
      <c r="B457" t="s">
        <v>930</v>
      </c>
      <c r="C457" s="1">
        <v>45375</v>
      </c>
      <c r="D457" s="1">
        <v>45404</v>
      </c>
      <c r="E457" s="1">
        <v>45405</v>
      </c>
      <c r="F457" s="2">
        <f t="shared" si="35"/>
        <v>5</v>
      </c>
      <c r="G457" s="2" t="str">
        <f t="shared" si="36"/>
        <v>Sunday</v>
      </c>
      <c r="H457" s="2" t="str">
        <f t="shared" si="37"/>
        <v>March</v>
      </c>
      <c r="I457" t="s">
        <v>14</v>
      </c>
      <c r="J457" t="s">
        <v>31</v>
      </c>
      <c r="K457" t="s">
        <v>49</v>
      </c>
      <c r="L457" t="s">
        <v>37</v>
      </c>
      <c r="M457">
        <v>1171.49</v>
      </c>
      <c r="N457">
        <f t="shared" si="38"/>
        <v>1</v>
      </c>
      <c r="O457">
        <v>5</v>
      </c>
      <c r="P457" t="str">
        <f t="shared" si="39"/>
        <v>Yes</v>
      </c>
      <c r="Q457">
        <f>IF(Booking_Data[[#This Row],[Discounted Booking]]="Yes",1,0)</f>
        <v>1</v>
      </c>
      <c r="R457" t="s">
        <v>18</v>
      </c>
      <c r="S457">
        <f>IF(Booking_Data[[#This Row],[Cancellation Status]]="yes",1,0)</f>
        <v>1</v>
      </c>
    </row>
    <row r="458" spans="1:19" x14ac:dyDescent="0.35">
      <c r="A458" t="s">
        <v>931</v>
      </c>
      <c r="B458" t="s">
        <v>932</v>
      </c>
      <c r="C458" s="1">
        <v>45375</v>
      </c>
      <c r="D458" s="1">
        <v>45387</v>
      </c>
      <c r="E458" s="1">
        <v>45392</v>
      </c>
      <c r="F458" s="2">
        <f t="shared" si="35"/>
        <v>5</v>
      </c>
      <c r="G458" s="2" t="str">
        <f t="shared" si="36"/>
        <v>Sunday</v>
      </c>
      <c r="H458" s="2" t="str">
        <f t="shared" si="37"/>
        <v>March</v>
      </c>
      <c r="I458" t="s">
        <v>30</v>
      </c>
      <c r="J458" t="s">
        <v>36</v>
      </c>
      <c r="K458" t="s">
        <v>49</v>
      </c>
      <c r="L458" t="s">
        <v>17</v>
      </c>
      <c r="M458">
        <v>585.65</v>
      </c>
      <c r="N458">
        <f t="shared" si="38"/>
        <v>5</v>
      </c>
      <c r="O458">
        <v>20</v>
      </c>
      <c r="P458" t="str">
        <f t="shared" si="39"/>
        <v>Yes</v>
      </c>
      <c r="Q458">
        <f>IF(Booking_Data[[#This Row],[Discounted Booking]]="Yes",1,0)</f>
        <v>1</v>
      </c>
      <c r="R458" t="s">
        <v>24</v>
      </c>
      <c r="S458">
        <f>IF(Booking_Data[[#This Row],[Cancellation Status]]="yes",1,0)</f>
        <v>0</v>
      </c>
    </row>
    <row r="459" spans="1:19" x14ac:dyDescent="0.35">
      <c r="A459" t="s">
        <v>933</v>
      </c>
      <c r="B459" t="s">
        <v>934</v>
      </c>
      <c r="C459" s="1">
        <v>45375</v>
      </c>
      <c r="D459" s="1">
        <v>45387</v>
      </c>
      <c r="E459" s="1">
        <v>45397</v>
      </c>
      <c r="F459" s="2">
        <f t="shared" si="35"/>
        <v>5</v>
      </c>
      <c r="G459" s="2" t="str">
        <f t="shared" si="36"/>
        <v>Sunday</v>
      </c>
      <c r="H459" s="2" t="str">
        <f t="shared" si="37"/>
        <v>March</v>
      </c>
      <c r="I459" t="s">
        <v>14</v>
      </c>
      <c r="J459" t="s">
        <v>21</v>
      </c>
      <c r="K459" t="s">
        <v>22</v>
      </c>
      <c r="L459" t="s">
        <v>37</v>
      </c>
      <c r="M459">
        <v>1037.51</v>
      </c>
      <c r="N459">
        <f t="shared" si="38"/>
        <v>10</v>
      </c>
      <c r="O459">
        <v>0</v>
      </c>
      <c r="P459" t="str">
        <f t="shared" si="39"/>
        <v>No</v>
      </c>
      <c r="Q459">
        <f>IF(Booking_Data[[#This Row],[Discounted Booking]]="Yes",1,0)</f>
        <v>0</v>
      </c>
      <c r="R459" t="s">
        <v>24</v>
      </c>
      <c r="S459">
        <f>IF(Booking_Data[[#This Row],[Cancellation Status]]="yes",1,0)</f>
        <v>0</v>
      </c>
    </row>
    <row r="460" spans="1:19" x14ac:dyDescent="0.35">
      <c r="A460" t="s">
        <v>935</v>
      </c>
      <c r="B460" t="s">
        <v>936</v>
      </c>
      <c r="C460" s="1">
        <v>45375</v>
      </c>
      <c r="D460" s="1">
        <v>45395</v>
      </c>
      <c r="E460" s="1">
        <v>45397</v>
      </c>
      <c r="F460" s="2">
        <f t="shared" si="35"/>
        <v>5</v>
      </c>
      <c r="G460" s="2" t="str">
        <f t="shared" si="36"/>
        <v>Sunday</v>
      </c>
      <c r="H460" s="2" t="str">
        <f t="shared" si="37"/>
        <v>March</v>
      </c>
      <c r="I460" t="s">
        <v>14</v>
      </c>
      <c r="J460" t="s">
        <v>15</v>
      </c>
      <c r="K460" t="s">
        <v>16</v>
      </c>
      <c r="L460" t="s">
        <v>23</v>
      </c>
      <c r="M460">
        <v>552.46</v>
      </c>
      <c r="N460">
        <f t="shared" si="38"/>
        <v>2</v>
      </c>
      <c r="O460">
        <v>5</v>
      </c>
      <c r="P460" t="str">
        <f t="shared" si="39"/>
        <v>Yes</v>
      </c>
      <c r="Q460">
        <f>IF(Booking_Data[[#This Row],[Discounted Booking]]="Yes",1,0)</f>
        <v>1</v>
      </c>
      <c r="R460" t="s">
        <v>18</v>
      </c>
      <c r="S460">
        <f>IF(Booking_Data[[#This Row],[Cancellation Status]]="yes",1,0)</f>
        <v>1</v>
      </c>
    </row>
    <row r="461" spans="1:19" x14ac:dyDescent="0.35">
      <c r="A461" t="s">
        <v>937</v>
      </c>
      <c r="B461" t="s">
        <v>938</v>
      </c>
      <c r="C461" s="1">
        <v>45375</v>
      </c>
      <c r="D461" s="1">
        <v>45394</v>
      </c>
      <c r="E461" s="1">
        <v>45397</v>
      </c>
      <c r="F461" s="2">
        <f t="shared" si="35"/>
        <v>5</v>
      </c>
      <c r="G461" s="2" t="str">
        <f t="shared" si="36"/>
        <v>Sunday</v>
      </c>
      <c r="H461" s="2" t="str">
        <f t="shared" si="37"/>
        <v>March</v>
      </c>
      <c r="I461" t="s">
        <v>14</v>
      </c>
      <c r="J461" t="s">
        <v>15</v>
      </c>
      <c r="K461" t="s">
        <v>42</v>
      </c>
      <c r="L461" t="s">
        <v>37</v>
      </c>
      <c r="M461">
        <v>909.34</v>
      </c>
      <c r="N461">
        <f t="shared" si="38"/>
        <v>3</v>
      </c>
      <c r="O461">
        <v>15</v>
      </c>
      <c r="P461" t="str">
        <f t="shared" si="39"/>
        <v>Yes</v>
      </c>
      <c r="Q461">
        <f>IF(Booking_Data[[#This Row],[Discounted Booking]]="Yes",1,0)</f>
        <v>1</v>
      </c>
      <c r="R461" t="s">
        <v>24</v>
      </c>
      <c r="S461">
        <f>IF(Booking_Data[[#This Row],[Cancellation Status]]="yes",1,0)</f>
        <v>0</v>
      </c>
    </row>
    <row r="462" spans="1:19" x14ac:dyDescent="0.35">
      <c r="A462" t="s">
        <v>939</v>
      </c>
      <c r="B462" t="s">
        <v>588</v>
      </c>
      <c r="C462" s="1">
        <v>45375</v>
      </c>
      <c r="D462" s="1">
        <v>45378</v>
      </c>
      <c r="E462" s="1">
        <v>45380</v>
      </c>
      <c r="F462" s="2">
        <f t="shared" si="35"/>
        <v>5</v>
      </c>
      <c r="G462" s="2" t="str">
        <f t="shared" si="36"/>
        <v>Sunday</v>
      </c>
      <c r="H462" s="2" t="str">
        <f t="shared" si="37"/>
        <v>March</v>
      </c>
      <c r="I462" t="s">
        <v>14</v>
      </c>
      <c r="J462" t="s">
        <v>36</v>
      </c>
      <c r="K462" t="s">
        <v>16</v>
      </c>
      <c r="L462" t="s">
        <v>37</v>
      </c>
      <c r="M462">
        <v>884.22</v>
      </c>
      <c r="N462">
        <f t="shared" si="38"/>
        <v>2</v>
      </c>
      <c r="O462">
        <v>20</v>
      </c>
      <c r="P462" t="str">
        <f t="shared" si="39"/>
        <v>Yes</v>
      </c>
      <c r="Q462">
        <f>IF(Booking_Data[[#This Row],[Discounted Booking]]="Yes",1,0)</f>
        <v>1</v>
      </c>
      <c r="R462" t="s">
        <v>24</v>
      </c>
      <c r="S462">
        <f>IF(Booking_Data[[#This Row],[Cancellation Status]]="yes",1,0)</f>
        <v>0</v>
      </c>
    </row>
    <row r="463" spans="1:19" x14ac:dyDescent="0.35">
      <c r="A463" t="s">
        <v>940</v>
      </c>
      <c r="B463" t="s">
        <v>941</v>
      </c>
      <c r="C463" s="1">
        <v>45376</v>
      </c>
      <c r="D463" s="1">
        <v>45400</v>
      </c>
      <c r="E463" s="1">
        <v>45404</v>
      </c>
      <c r="F463" s="2">
        <f t="shared" si="35"/>
        <v>5</v>
      </c>
      <c r="G463" s="2" t="str">
        <f t="shared" si="36"/>
        <v>Monday</v>
      </c>
      <c r="H463" s="2" t="str">
        <f t="shared" si="37"/>
        <v>March</v>
      </c>
      <c r="I463" t="s">
        <v>35</v>
      </c>
      <c r="J463" t="s">
        <v>15</v>
      </c>
      <c r="K463" t="s">
        <v>16</v>
      </c>
      <c r="L463" t="s">
        <v>37</v>
      </c>
      <c r="M463">
        <v>1161.21</v>
      </c>
      <c r="N463">
        <f t="shared" si="38"/>
        <v>4</v>
      </c>
      <c r="O463">
        <v>20</v>
      </c>
      <c r="P463" t="str">
        <f t="shared" si="39"/>
        <v>Yes</v>
      </c>
      <c r="Q463">
        <f>IF(Booking_Data[[#This Row],[Discounted Booking]]="Yes",1,0)</f>
        <v>1</v>
      </c>
      <c r="R463" t="s">
        <v>18</v>
      </c>
      <c r="S463">
        <f>IF(Booking_Data[[#This Row],[Cancellation Status]]="yes",1,0)</f>
        <v>1</v>
      </c>
    </row>
    <row r="464" spans="1:19" x14ac:dyDescent="0.35">
      <c r="A464" t="s">
        <v>942</v>
      </c>
      <c r="B464" t="s">
        <v>943</v>
      </c>
      <c r="C464" s="1">
        <v>45376</v>
      </c>
      <c r="D464" s="1">
        <v>45403</v>
      </c>
      <c r="E464" s="1">
        <v>45407</v>
      </c>
      <c r="F464" s="2">
        <f t="shared" si="35"/>
        <v>5</v>
      </c>
      <c r="G464" s="2" t="str">
        <f t="shared" si="36"/>
        <v>Monday</v>
      </c>
      <c r="H464" s="2" t="str">
        <f t="shared" si="37"/>
        <v>March</v>
      </c>
      <c r="I464" t="s">
        <v>14</v>
      </c>
      <c r="J464" t="s">
        <v>36</v>
      </c>
      <c r="K464" t="s">
        <v>22</v>
      </c>
      <c r="L464" t="s">
        <v>27</v>
      </c>
      <c r="M464">
        <v>1046.3699999999999</v>
      </c>
      <c r="N464">
        <f t="shared" si="38"/>
        <v>4</v>
      </c>
      <c r="O464">
        <v>10</v>
      </c>
      <c r="P464" t="str">
        <f t="shared" si="39"/>
        <v>Yes</v>
      </c>
      <c r="Q464">
        <f>IF(Booking_Data[[#This Row],[Discounted Booking]]="Yes",1,0)</f>
        <v>1</v>
      </c>
      <c r="R464" t="s">
        <v>24</v>
      </c>
      <c r="S464">
        <f>IF(Booking_Data[[#This Row],[Cancellation Status]]="yes",1,0)</f>
        <v>0</v>
      </c>
    </row>
    <row r="465" spans="1:19" x14ac:dyDescent="0.35">
      <c r="A465" t="s">
        <v>944</v>
      </c>
      <c r="B465" t="s">
        <v>945</v>
      </c>
      <c r="C465" s="1">
        <v>45376</v>
      </c>
      <c r="D465" s="1">
        <v>45403</v>
      </c>
      <c r="E465" s="1">
        <v>45410</v>
      </c>
      <c r="F465" s="2">
        <f t="shared" si="35"/>
        <v>5</v>
      </c>
      <c r="G465" s="2" t="str">
        <f t="shared" si="36"/>
        <v>Monday</v>
      </c>
      <c r="H465" s="2" t="str">
        <f t="shared" si="37"/>
        <v>March</v>
      </c>
      <c r="I465" t="s">
        <v>30</v>
      </c>
      <c r="J465" t="s">
        <v>31</v>
      </c>
      <c r="K465" t="s">
        <v>16</v>
      </c>
      <c r="L465" t="s">
        <v>23</v>
      </c>
      <c r="M465">
        <v>693.74</v>
      </c>
      <c r="N465">
        <f t="shared" si="38"/>
        <v>7</v>
      </c>
      <c r="O465">
        <v>20</v>
      </c>
      <c r="P465" t="str">
        <f t="shared" si="39"/>
        <v>Yes</v>
      </c>
      <c r="Q465">
        <f>IF(Booking_Data[[#This Row],[Discounted Booking]]="Yes",1,0)</f>
        <v>1</v>
      </c>
      <c r="R465" t="s">
        <v>24</v>
      </c>
      <c r="S465">
        <f>IF(Booking_Data[[#This Row],[Cancellation Status]]="yes",1,0)</f>
        <v>0</v>
      </c>
    </row>
    <row r="466" spans="1:19" x14ac:dyDescent="0.35">
      <c r="A466" t="s">
        <v>946</v>
      </c>
      <c r="B466" t="s">
        <v>947</v>
      </c>
      <c r="C466" s="1">
        <v>45376</v>
      </c>
      <c r="D466" s="1">
        <v>45397</v>
      </c>
      <c r="E466" s="1">
        <v>45406</v>
      </c>
      <c r="F466" s="2">
        <f t="shared" si="35"/>
        <v>5</v>
      </c>
      <c r="G466" s="2" t="str">
        <f t="shared" si="36"/>
        <v>Monday</v>
      </c>
      <c r="H466" s="2" t="str">
        <f t="shared" si="37"/>
        <v>March</v>
      </c>
      <c r="I466" t="s">
        <v>30</v>
      </c>
      <c r="J466" t="s">
        <v>15</v>
      </c>
      <c r="K466" t="s">
        <v>42</v>
      </c>
      <c r="L466" t="s">
        <v>27</v>
      </c>
      <c r="M466">
        <v>795.28</v>
      </c>
      <c r="N466">
        <f t="shared" si="38"/>
        <v>9</v>
      </c>
      <c r="O466">
        <v>10</v>
      </c>
      <c r="P466" t="str">
        <f t="shared" si="39"/>
        <v>Yes</v>
      </c>
      <c r="Q466">
        <f>IF(Booking_Data[[#This Row],[Discounted Booking]]="Yes",1,0)</f>
        <v>1</v>
      </c>
      <c r="R466" t="s">
        <v>24</v>
      </c>
      <c r="S466">
        <f>IF(Booking_Data[[#This Row],[Cancellation Status]]="yes",1,0)</f>
        <v>0</v>
      </c>
    </row>
    <row r="467" spans="1:19" x14ac:dyDescent="0.35">
      <c r="A467" t="s">
        <v>948</v>
      </c>
      <c r="B467" t="s">
        <v>867</v>
      </c>
      <c r="C467" s="1">
        <v>45377</v>
      </c>
      <c r="D467" s="1">
        <v>45404</v>
      </c>
      <c r="E467" s="1">
        <v>45405</v>
      </c>
      <c r="F467" s="2">
        <f t="shared" si="35"/>
        <v>5</v>
      </c>
      <c r="G467" s="2" t="str">
        <f t="shared" si="36"/>
        <v>Tuesday</v>
      </c>
      <c r="H467" s="2" t="str">
        <f t="shared" si="37"/>
        <v>March</v>
      </c>
      <c r="I467" t="s">
        <v>35</v>
      </c>
      <c r="J467" t="s">
        <v>21</v>
      </c>
      <c r="K467" t="s">
        <v>49</v>
      </c>
      <c r="L467" t="s">
        <v>17</v>
      </c>
      <c r="M467">
        <v>995.27</v>
      </c>
      <c r="N467">
        <f t="shared" si="38"/>
        <v>1</v>
      </c>
      <c r="O467">
        <v>0</v>
      </c>
      <c r="P467" t="str">
        <f t="shared" si="39"/>
        <v>No</v>
      </c>
      <c r="Q467">
        <f>IF(Booking_Data[[#This Row],[Discounted Booking]]="Yes",1,0)</f>
        <v>0</v>
      </c>
      <c r="R467" t="s">
        <v>24</v>
      </c>
      <c r="S467">
        <f>IF(Booking_Data[[#This Row],[Cancellation Status]]="yes",1,0)</f>
        <v>0</v>
      </c>
    </row>
    <row r="468" spans="1:19" x14ac:dyDescent="0.35">
      <c r="A468" t="s">
        <v>949</v>
      </c>
      <c r="B468" t="s">
        <v>950</v>
      </c>
      <c r="C468" s="1">
        <v>45377</v>
      </c>
      <c r="D468" s="1">
        <v>45398</v>
      </c>
      <c r="E468" s="1">
        <v>45406</v>
      </c>
      <c r="F468" s="2">
        <f t="shared" si="35"/>
        <v>5</v>
      </c>
      <c r="G468" s="2" t="str">
        <f t="shared" si="36"/>
        <v>Tuesday</v>
      </c>
      <c r="H468" s="2" t="str">
        <f t="shared" si="37"/>
        <v>March</v>
      </c>
      <c r="I468" t="s">
        <v>14</v>
      </c>
      <c r="J468" t="s">
        <v>15</v>
      </c>
      <c r="K468" t="s">
        <v>32</v>
      </c>
      <c r="L468" t="s">
        <v>37</v>
      </c>
      <c r="M468">
        <v>981.11</v>
      </c>
      <c r="N468">
        <f t="shared" si="38"/>
        <v>8</v>
      </c>
      <c r="O468">
        <v>20</v>
      </c>
      <c r="P468" t="str">
        <f t="shared" si="39"/>
        <v>Yes</v>
      </c>
      <c r="Q468">
        <f>IF(Booking_Data[[#This Row],[Discounted Booking]]="Yes",1,0)</f>
        <v>1</v>
      </c>
      <c r="R468" t="s">
        <v>18</v>
      </c>
      <c r="S468">
        <f>IF(Booking_Data[[#This Row],[Cancellation Status]]="yes",1,0)</f>
        <v>1</v>
      </c>
    </row>
    <row r="469" spans="1:19" x14ac:dyDescent="0.35">
      <c r="A469" t="s">
        <v>951</v>
      </c>
      <c r="B469" t="s">
        <v>952</v>
      </c>
      <c r="C469" s="1">
        <v>45377</v>
      </c>
      <c r="D469" s="1">
        <v>45403</v>
      </c>
      <c r="E469" s="1">
        <v>45407</v>
      </c>
      <c r="F469" s="2">
        <f t="shared" si="35"/>
        <v>5</v>
      </c>
      <c r="G469" s="2" t="str">
        <f t="shared" si="36"/>
        <v>Tuesday</v>
      </c>
      <c r="H469" s="2" t="str">
        <f t="shared" si="37"/>
        <v>March</v>
      </c>
      <c r="I469" t="s">
        <v>14</v>
      </c>
      <c r="J469" t="s">
        <v>31</v>
      </c>
      <c r="K469" t="s">
        <v>49</v>
      </c>
      <c r="L469" t="s">
        <v>23</v>
      </c>
      <c r="M469">
        <v>762.23</v>
      </c>
      <c r="N469">
        <f t="shared" si="38"/>
        <v>4</v>
      </c>
      <c r="O469">
        <v>25</v>
      </c>
      <c r="P469" t="str">
        <f t="shared" si="39"/>
        <v>Yes</v>
      </c>
      <c r="Q469">
        <f>IF(Booking_Data[[#This Row],[Discounted Booking]]="Yes",1,0)</f>
        <v>1</v>
      </c>
      <c r="R469" t="s">
        <v>24</v>
      </c>
      <c r="S469">
        <f>IF(Booking_Data[[#This Row],[Cancellation Status]]="yes",1,0)</f>
        <v>0</v>
      </c>
    </row>
    <row r="470" spans="1:19" x14ac:dyDescent="0.35">
      <c r="A470" t="s">
        <v>953</v>
      </c>
      <c r="B470" t="s">
        <v>680</v>
      </c>
      <c r="C470" s="1">
        <v>45377</v>
      </c>
      <c r="D470" s="1">
        <v>45394</v>
      </c>
      <c r="E470" s="1">
        <v>45402</v>
      </c>
      <c r="F470" s="2">
        <f t="shared" si="35"/>
        <v>5</v>
      </c>
      <c r="G470" s="2" t="str">
        <f t="shared" si="36"/>
        <v>Tuesday</v>
      </c>
      <c r="H470" s="2" t="str">
        <f t="shared" si="37"/>
        <v>March</v>
      </c>
      <c r="I470" t="s">
        <v>35</v>
      </c>
      <c r="J470" t="s">
        <v>31</v>
      </c>
      <c r="K470" t="s">
        <v>16</v>
      </c>
      <c r="L470" t="s">
        <v>27</v>
      </c>
      <c r="M470">
        <v>1465.86</v>
      </c>
      <c r="N470">
        <f t="shared" si="38"/>
        <v>8</v>
      </c>
      <c r="O470">
        <v>10</v>
      </c>
      <c r="P470" t="str">
        <f t="shared" si="39"/>
        <v>Yes</v>
      </c>
      <c r="Q470">
        <f>IF(Booking_Data[[#This Row],[Discounted Booking]]="Yes",1,0)</f>
        <v>1</v>
      </c>
      <c r="R470" t="s">
        <v>24</v>
      </c>
      <c r="S470">
        <f>IF(Booking_Data[[#This Row],[Cancellation Status]]="yes",1,0)</f>
        <v>0</v>
      </c>
    </row>
    <row r="471" spans="1:19" x14ac:dyDescent="0.35">
      <c r="A471" t="s">
        <v>954</v>
      </c>
      <c r="B471" t="s">
        <v>955</v>
      </c>
      <c r="C471" s="1">
        <v>45377</v>
      </c>
      <c r="D471" s="1">
        <v>45391</v>
      </c>
      <c r="E471" s="1">
        <v>45395</v>
      </c>
      <c r="F471" s="2">
        <f t="shared" si="35"/>
        <v>5</v>
      </c>
      <c r="G471" s="2" t="str">
        <f t="shared" si="36"/>
        <v>Tuesday</v>
      </c>
      <c r="H471" s="2" t="str">
        <f t="shared" si="37"/>
        <v>March</v>
      </c>
      <c r="I471" t="s">
        <v>30</v>
      </c>
      <c r="J471" t="s">
        <v>15</v>
      </c>
      <c r="K471" t="s">
        <v>58</v>
      </c>
      <c r="L471" t="s">
        <v>17</v>
      </c>
      <c r="M471">
        <v>147</v>
      </c>
      <c r="N471">
        <f t="shared" si="38"/>
        <v>4</v>
      </c>
      <c r="O471">
        <v>25</v>
      </c>
      <c r="P471" t="str">
        <f t="shared" si="39"/>
        <v>Yes</v>
      </c>
      <c r="Q471">
        <f>IF(Booking_Data[[#This Row],[Discounted Booking]]="Yes",1,0)</f>
        <v>1</v>
      </c>
      <c r="R471" t="s">
        <v>18</v>
      </c>
      <c r="S471">
        <f>IF(Booking_Data[[#This Row],[Cancellation Status]]="yes",1,0)</f>
        <v>1</v>
      </c>
    </row>
    <row r="472" spans="1:19" x14ac:dyDescent="0.35">
      <c r="A472" t="s">
        <v>956</v>
      </c>
      <c r="B472" t="s">
        <v>957</v>
      </c>
      <c r="C472" s="1">
        <v>45377</v>
      </c>
      <c r="D472" s="1">
        <v>45388</v>
      </c>
      <c r="E472" s="1">
        <v>45397</v>
      </c>
      <c r="F472" s="2">
        <f t="shared" si="35"/>
        <v>5</v>
      </c>
      <c r="G472" s="2" t="str">
        <f t="shared" si="36"/>
        <v>Tuesday</v>
      </c>
      <c r="H472" s="2" t="str">
        <f t="shared" si="37"/>
        <v>March</v>
      </c>
      <c r="I472" t="s">
        <v>30</v>
      </c>
      <c r="J472" t="s">
        <v>21</v>
      </c>
      <c r="K472" t="s">
        <v>58</v>
      </c>
      <c r="L472" t="s">
        <v>37</v>
      </c>
      <c r="M472">
        <v>628.12</v>
      </c>
      <c r="N472">
        <f t="shared" si="38"/>
        <v>9</v>
      </c>
      <c r="O472">
        <v>20</v>
      </c>
      <c r="P472" t="str">
        <f t="shared" si="39"/>
        <v>Yes</v>
      </c>
      <c r="Q472">
        <f>IF(Booking_Data[[#This Row],[Discounted Booking]]="Yes",1,0)</f>
        <v>1</v>
      </c>
      <c r="R472" t="s">
        <v>18</v>
      </c>
      <c r="S472">
        <f>IF(Booking_Data[[#This Row],[Cancellation Status]]="yes",1,0)</f>
        <v>1</v>
      </c>
    </row>
    <row r="473" spans="1:19" x14ac:dyDescent="0.35">
      <c r="A473" t="s">
        <v>958</v>
      </c>
      <c r="B473" t="s">
        <v>959</v>
      </c>
      <c r="C473" s="1">
        <v>45378</v>
      </c>
      <c r="D473" s="1">
        <v>45392</v>
      </c>
      <c r="E473" s="1">
        <v>45395</v>
      </c>
      <c r="F473" s="2">
        <f t="shared" si="35"/>
        <v>5</v>
      </c>
      <c r="G473" s="2" t="str">
        <f t="shared" si="36"/>
        <v>Wednesday</v>
      </c>
      <c r="H473" s="2" t="str">
        <f t="shared" si="37"/>
        <v>March</v>
      </c>
      <c r="I473" t="s">
        <v>30</v>
      </c>
      <c r="J473" t="s">
        <v>15</v>
      </c>
      <c r="K473" t="s">
        <v>22</v>
      </c>
      <c r="L473" t="s">
        <v>27</v>
      </c>
      <c r="M473">
        <v>885.59</v>
      </c>
      <c r="N473">
        <f t="shared" si="38"/>
        <v>3</v>
      </c>
      <c r="O473">
        <v>20</v>
      </c>
      <c r="P473" t="str">
        <f t="shared" si="39"/>
        <v>Yes</v>
      </c>
      <c r="Q473">
        <f>IF(Booking_Data[[#This Row],[Discounted Booking]]="Yes",1,0)</f>
        <v>1</v>
      </c>
      <c r="R473" t="s">
        <v>18</v>
      </c>
      <c r="S473">
        <f>IF(Booking_Data[[#This Row],[Cancellation Status]]="yes",1,0)</f>
        <v>1</v>
      </c>
    </row>
    <row r="474" spans="1:19" x14ac:dyDescent="0.35">
      <c r="A474" t="s">
        <v>960</v>
      </c>
      <c r="B474" t="s">
        <v>961</v>
      </c>
      <c r="C474" s="1">
        <v>45378</v>
      </c>
      <c r="D474" s="1">
        <v>45404</v>
      </c>
      <c r="E474" s="1">
        <v>45413</v>
      </c>
      <c r="F474" s="2">
        <f t="shared" si="35"/>
        <v>5</v>
      </c>
      <c r="G474" s="2" t="str">
        <f t="shared" si="36"/>
        <v>Wednesday</v>
      </c>
      <c r="H474" s="2" t="str">
        <f t="shared" si="37"/>
        <v>March</v>
      </c>
      <c r="I474" t="s">
        <v>14</v>
      </c>
      <c r="J474" t="s">
        <v>36</v>
      </c>
      <c r="K474" t="s">
        <v>16</v>
      </c>
      <c r="L474" t="s">
        <v>27</v>
      </c>
      <c r="M474">
        <v>968.94</v>
      </c>
      <c r="N474">
        <f t="shared" si="38"/>
        <v>9</v>
      </c>
      <c r="O474">
        <v>25</v>
      </c>
      <c r="P474" t="str">
        <f t="shared" si="39"/>
        <v>Yes</v>
      </c>
      <c r="Q474">
        <f>IF(Booking_Data[[#This Row],[Discounted Booking]]="Yes",1,0)</f>
        <v>1</v>
      </c>
      <c r="R474" t="s">
        <v>24</v>
      </c>
      <c r="S474">
        <f>IF(Booking_Data[[#This Row],[Cancellation Status]]="yes",1,0)</f>
        <v>0</v>
      </c>
    </row>
    <row r="475" spans="1:19" x14ac:dyDescent="0.35">
      <c r="A475" t="s">
        <v>962</v>
      </c>
      <c r="B475" t="s">
        <v>963</v>
      </c>
      <c r="C475" s="1">
        <v>45378</v>
      </c>
      <c r="D475" s="1">
        <v>45400</v>
      </c>
      <c r="E475" s="1">
        <v>45407</v>
      </c>
      <c r="F475" s="2">
        <f t="shared" si="35"/>
        <v>5</v>
      </c>
      <c r="G475" s="2" t="str">
        <f t="shared" si="36"/>
        <v>Wednesday</v>
      </c>
      <c r="H475" s="2" t="str">
        <f t="shared" si="37"/>
        <v>March</v>
      </c>
      <c r="I475" t="s">
        <v>30</v>
      </c>
      <c r="J475" t="s">
        <v>15</v>
      </c>
      <c r="K475" t="s">
        <v>42</v>
      </c>
      <c r="L475" t="s">
        <v>27</v>
      </c>
      <c r="M475">
        <v>1198.92</v>
      </c>
      <c r="N475">
        <f t="shared" si="38"/>
        <v>7</v>
      </c>
      <c r="O475">
        <v>5</v>
      </c>
      <c r="P475" t="str">
        <f t="shared" si="39"/>
        <v>Yes</v>
      </c>
      <c r="Q475">
        <f>IF(Booking_Data[[#This Row],[Discounted Booking]]="Yes",1,0)</f>
        <v>1</v>
      </c>
      <c r="R475" t="s">
        <v>24</v>
      </c>
      <c r="S475">
        <f>IF(Booking_Data[[#This Row],[Cancellation Status]]="yes",1,0)</f>
        <v>0</v>
      </c>
    </row>
    <row r="476" spans="1:19" x14ac:dyDescent="0.35">
      <c r="A476" t="s">
        <v>964</v>
      </c>
      <c r="B476" t="s">
        <v>965</v>
      </c>
      <c r="C476" s="1">
        <v>45378</v>
      </c>
      <c r="D476" s="1">
        <v>45403</v>
      </c>
      <c r="E476" s="1">
        <v>45405</v>
      </c>
      <c r="F476" s="2">
        <f t="shared" si="35"/>
        <v>5</v>
      </c>
      <c r="G476" s="2" t="str">
        <f t="shared" si="36"/>
        <v>Wednesday</v>
      </c>
      <c r="H476" s="2" t="str">
        <f t="shared" si="37"/>
        <v>March</v>
      </c>
      <c r="I476" t="s">
        <v>14</v>
      </c>
      <c r="J476" t="s">
        <v>15</v>
      </c>
      <c r="K476" t="s">
        <v>58</v>
      </c>
      <c r="L476" t="s">
        <v>17</v>
      </c>
      <c r="M476">
        <v>367.49</v>
      </c>
      <c r="N476">
        <f t="shared" si="38"/>
        <v>2</v>
      </c>
      <c r="O476">
        <v>10</v>
      </c>
      <c r="P476" t="str">
        <f t="shared" si="39"/>
        <v>Yes</v>
      </c>
      <c r="Q476">
        <f>IF(Booking_Data[[#This Row],[Discounted Booking]]="Yes",1,0)</f>
        <v>1</v>
      </c>
      <c r="R476" t="s">
        <v>18</v>
      </c>
      <c r="S476">
        <f>IF(Booking_Data[[#This Row],[Cancellation Status]]="yes",1,0)</f>
        <v>1</v>
      </c>
    </row>
    <row r="477" spans="1:19" x14ac:dyDescent="0.35">
      <c r="A477" t="s">
        <v>966</v>
      </c>
      <c r="B477" t="s">
        <v>967</v>
      </c>
      <c r="C477" s="1">
        <v>45378</v>
      </c>
      <c r="D477" s="1">
        <v>45391</v>
      </c>
      <c r="E477" s="1">
        <v>45396</v>
      </c>
      <c r="F477" s="2">
        <f t="shared" si="35"/>
        <v>5</v>
      </c>
      <c r="G477" s="2" t="str">
        <f t="shared" si="36"/>
        <v>Wednesday</v>
      </c>
      <c r="H477" s="2" t="str">
        <f t="shared" si="37"/>
        <v>March</v>
      </c>
      <c r="I477" t="s">
        <v>14</v>
      </c>
      <c r="J477" t="s">
        <v>15</v>
      </c>
      <c r="K477" t="s">
        <v>32</v>
      </c>
      <c r="L477" t="s">
        <v>17</v>
      </c>
      <c r="M477">
        <v>624.08000000000004</v>
      </c>
      <c r="N477">
        <f t="shared" si="38"/>
        <v>5</v>
      </c>
      <c r="O477">
        <v>0</v>
      </c>
      <c r="P477" t="str">
        <f t="shared" si="39"/>
        <v>No</v>
      </c>
      <c r="Q477">
        <f>IF(Booking_Data[[#This Row],[Discounted Booking]]="Yes",1,0)</f>
        <v>0</v>
      </c>
      <c r="R477" t="s">
        <v>18</v>
      </c>
      <c r="S477">
        <f>IF(Booking_Data[[#This Row],[Cancellation Status]]="yes",1,0)</f>
        <v>1</v>
      </c>
    </row>
    <row r="478" spans="1:19" x14ac:dyDescent="0.35">
      <c r="A478" t="s">
        <v>968</v>
      </c>
      <c r="B478" t="s">
        <v>969</v>
      </c>
      <c r="C478" s="1">
        <v>45379</v>
      </c>
      <c r="D478" s="1">
        <v>45404</v>
      </c>
      <c r="E478" s="1">
        <v>45406</v>
      </c>
      <c r="F478" s="2">
        <f t="shared" si="35"/>
        <v>5</v>
      </c>
      <c r="G478" s="2" t="str">
        <f t="shared" si="36"/>
        <v>Thursday</v>
      </c>
      <c r="H478" s="2" t="str">
        <f t="shared" si="37"/>
        <v>March</v>
      </c>
      <c r="I478" t="s">
        <v>35</v>
      </c>
      <c r="J478" t="s">
        <v>36</v>
      </c>
      <c r="K478" t="s">
        <v>42</v>
      </c>
      <c r="L478" t="s">
        <v>37</v>
      </c>
      <c r="M478">
        <v>777.35</v>
      </c>
      <c r="N478">
        <f t="shared" si="38"/>
        <v>2</v>
      </c>
      <c r="O478">
        <v>5</v>
      </c>
      <c r="P478" t="str">
        <f t="shared" si="39"/>
        <v>Yes</v>
      </c>
      <c r="Q478">
        <f>IF(Booking_Data[[#This Row],[Discounted Booking]]="Yes",1,0)</f>
        <v>1</v>
      </c>
      <c r="R478" t="s">
        <v>24</v>
      </c>
      <c r="S478">
        <f>IF(Booking_Data[[#This Row],[Cancellation Status]]="yes",1,0)</f>
        <v>0</v>
      </c>
    </row>
    <row r="479" spans="1:19" x14ac:dyDescent="0.35">
      <c r="A479" t="s">
        <v>970</v>
      </c>
      <c r="B479" t="s">
        <v>971</v>
      </c>
      <c r="C479" s="1">
        <v>45379</v>
      </c>
      <c r="D479" s="1">
        <v>45405</v>
      </c>
      <c r="E479" s="1">
        <v>45413</v>
      </c>
      <c r="F479" s="2">
        <f t="shared" si="35"/>
        <v>5</v>
      </c>
      <c r="G479" s="2" t="str">
        <f t="shared" si="36"/>
        <v>Thursday</v>
      </c>
      <c r="H479" s="2" t="str">
        <f t="shared" si="37"/>
        <v>March</v>
      </c>
      <c r="I479" t="s">
        <v>35</v>
      </c>
      <c r="J479" t="s">
        <v>36</v>
      </c>
      <c r="K479" t="s">
        <v>32</v>
      </c>
      <c r="L479" t="s">
        <v>23</v>
      </c>
      <c r="M479">
        <v>334.25</v>
      </c>
      <c r="N479">
        <f t="shared" si="38"/>
        <v>8</v>
      </c>
      <c r="O479">
        <v>10</v>
      </c>
      <c r="P479" t="str">
        <f t="shared" si="39"/>
        <v>Yes</v>
      </c>
      <c r="Q479">
        <f>IF(Booking_Data[[#This Row],[Discounted Booking]]="Yes",1,0)</f>
        <v>1</v>
      </c>
      <c r="R479" t="s">
        <v>18</v>
      </c>
      <c r="S479">
        <f>IF(Booking_Data[[#This Row],[Cancellation Status]]="yes",1,0)</f>
        <v>1</v>
      </c>
    </row>
    <row r="480" spans="1:19" x14ac:dyDescent="0.35">
      <c r="A480" t="s">
        <v>972</v>
      </c>
      <c r="B480" t="s">
        <v>973</v>
      </c>
      <c r="C480" s="1">
        <v>45379</v>
      </c>
      <c r="D480" s="1">
        <v>45405</v>
      </c>
      <c r="E480" s="1">
        <v>45408</v>
      </c>
      <c r="F480" s="2">
        <f t="shared" si="35"/>
        <v>5</v>
      </c>
      <c r="G480" s="2" t="str">
        <f t="shared" si="36"/>
        <v>Thursday</v>
      </c>
      <c r="H480" s="2" t="str">
        <f t="shared" si="37"/>
        <v>March</v>
      </c>
      <c r="I480" t="s">
        <v>14</v>
      </c>
      <c r="J480" t="s">
        <v>36</v>
      </c>
      <c r="K480" t="s">
        <v>32</v>
      </c>
      <c r="L480" t="s">
        <v>37</v>
      </c>
      <c r="M480">
        <v>1319.58</v>
      </c>
      <c r="N480">
        <f t="shared" si="38"/>
        <v>3</v>
      </c>
      <c r="O480">
        <v>0</v>
      </c>
      <c r="P480" t="str">
        <f t="shared" si="39"/>
        <v>No</v>
      </c>
      <c r="Q480">
        <f>IF(Booking_Data[[#This Row],[Discounted Booking]]="Yes",1,0)</f>
        <v>0</v>
      </c>
      <c r="R480" t="s">
        <v>18</v>
      </c>
      <c r="S480">
        <f>IF(Booking_Data[[#This Row],[Cancellation Status]]="yes",1,0)</f>
        <v>1</v>
      </c>
    </row>
    <row r="481" spans="1:19" x14ac:dyDescent="0.35">
      <c r="A481" t="s">
        <v>974</v>
      </c>
      <c r="B481" t="s">
        <v>975</v>
      </c>
      <c r="C481" s="1">
        <v>45380</v>
      </c>
      <c r="D481" s="1">
        <v>45403</v>
      </c>
      <c r="E481" s="1">
        <v>45407</v>
      </c>
      <c r="F481" s="2">
        <f t="shared" si="35"/>
        <v>5</v>
      </c>
      <c r="G481" s="2" t="str">
        <f t="shared" si="36"/>
        <v>Friday</v>
      </c>
      <c r="H481" s="2" t="str">
        <f t="shared" si="37"/>
        <v>March</v>
      </c>
      <c r="I481" t="s">
        <v>30</v>
      </c>
      <c r="J481" t="s">
        <v>36</v>
      </c>
      <c r="K481" t="s">
        <v>58</v>
      </c>
      <c r="L481" t="s">
        <v>23</v>
      </c>
      <c r="M481">
        <v>1003.29</v>
      </c>
      <c r="N481">
        <f t="shared" si="38"/>
        <v>4</v>
      </c>
      <c r="O481">
        <v>20</v>
      </c>
      <c r="P481" t="str">
        <f t="shared" si="39"/>
        <v>Yes</v>
      </c>
      <c r="Q481">
        <f>IF(Booking_Data[[#This Row],[Discounted Booking]]="Yes",1,0)</f>
        <v>1</v>
      </c>
      <c r="R481" t="s">
        <v>18</v>
      </c>
      <c r="S481">
        <f>IF(Booking_Data[[#This Row],[Cancellation Status]]="yes",1,0)</f>
        <v>1</v>
      </c>
    </row>
    <row r="482" spans="1:19" x14ac:dyDescent="0.35">
      <c r="A482" t="s">
        <v>976</v>
      </c>
      <c r="B482" t="s">
        <v>977</v>
      </c>
      <c r="C482" s="1">
        <v>45380</v>
      </c>
      <c r="D482" s="1">
        <v>45395</v>
      </c>
      <c r="E482" s="1">
        <v>45399</v>
      </c>
      <c r="F482" s="2">
        <f t="shared" si="35"/>
        <v>5</v>
      </c>
      <c r="G482" s="2" t="str">
        <f t="shared" si="36"/>
        <v>Friday</v>
      </c>
      <c r="H482" s="2" t="str">
        <f t="shared" si="37"/>
        <v>March</v>
      </c>
      <c r="I482" t="s">
        <v>14</v>
      </c>
      <c r="J482" t="s">
        <v>21</v>
      </c>
      <c r="K482" t="s">
        <v>42</v>
      </c>
      <c r="L482" t="s">
        <v>17</v>
      </c>
      <c r="M482">
        <v>176.21</v>
      </c>
      <c r="N482">
        <f t="shared" si="38"/>
        <v>4</v>
      </c>
      <c r="O482">
        <v>15</v>
      </c>
      <c r="P482" t="str">
        <f t="shared" si="39"/>
        <v>Yes</v>
      </c>
      <c r="Q482">
        <f>IF(Booking_Data[[#This Row],[Discounted Booking]]="Yes",1,0)</f>
        <v>1</v>
      </c>
      <c r="R482" t="s">
        <v>24</v>
      </c>
      <c r="S482">
        <f>IF(Booking_Data[[#This Row],[Cancellation Status]]="yes",1,0)</f>
        <v>0</v>
      </c>
    </row>
    <row r="483" spans="1:19" x14ac:dyDescent="0.35">
      <c r="A483" t="s">
        <v>978</v>
      </c>
      <c r="B483" t="s">
        <v>979</v>
      </c>
      <c r="C483" s="1">
        <v>45380</v>
      </c>
      <c r="D483" s="1">
        <v>45386</v>
      </c>
      <c r="E483" s="1">
        <v>45389</v>
      </c>
      <c r="F483" s="2">
        <f t="shared" si="35"/>
        <v>5</v>
      </c>
      <c r="G483" s="2" t="str">
        <f t="shared" si="36"/>
        <v>Friday</v>
      </c>
      <c r="H483" s="2" t="str">
        <f t="shared" si="37"/>
        <v>March</v>
      </c>
      <c r="I483" t="s">
        <v>14</v>
      </c>
      <c r="J483" t="s">
        <v>36</v>
      </c>
      <c r="K483" t="s">
        <v>22</v>
      </c>
      <c r="L483" t="s">
        <v>17</v>
      </c>
      <c r="M483">
        <v>503.13</v>
      </c>
      <c r="N483">
        <f t="shared" si="38"/>
        <v>3</v>
      </c>
      <c r="O483">
        <v>10</v>
      </c>
      <c r="P483" t="str">
        <f t="shared" si="39"/>
        <v>Yes</v>
      </c>
      <c r="Q483">
        <f>IF(Booking_Data[[#This Row],[Discounted Booking]]="Yes",1,0)</f>
        <v>1</v>
      </c>
      <c r="R483" t="s">
        <v>24</v>
      </c>
      <c r="S483">
        <f>IF(Booking_Data[[#This Row],[Cancellation Status]]="yes",1,0)</f>
        <v>0</v>
      </c>
    </row>
    <row r="484" spans="1:19" x14ac:dyDescent="0.35">
      <c r="A484" t="s">
        <v>980</v>
      </c>
      <c r="B484" t="s">
        <v>981</v>
      </c>
      <c r="C484" s="1">
        <v>45380</v>
      </c>
      <c r="D484" s="1">
        <v>45386</v>
      </c>
      <c r="E484" s="1">
        <v>45392</v>
      </c>
      <c r="F484" s="2">
        <f t="shared" si="35"/>
        <v>5</v>
      </c>
      <c r="G484" s="2" t="str">
        <f t="shared" si="36"/>
        <v>Friday</v>
      </c>
      <c r="H484" s="2" t="str">
        <f t="shared" si="37"/>
        <v>March</v>
      </c>
      <c r="I484" t="s">
        <v>35</v>
      </c>
      <c r="J484" t="s">
        <v>15</v>
      </c>
      <c r="K484" t="s">
        <v>22</v>
      </c>
      <c r="L484" t="s">
        <v>27</v>
      </c>
      <c r="M484">
        <v>670.77</v>
      </c>
      <c r="N484">
        <f t="shared" si="38"/>
        <v>6</v>
      </c>
      <c r="O484">
        <v>10</v>
      </c>
      <c r="P484" t="str">
        <f t="shared" si="39"/>
        <v>Yes</v>
      </c>
      <c r="Q484">
        <f>IF(Booking_Data[[#This Row],[Discounted Booking]]="Yes",1,0)</f>
        <v>1</v>
      </c>
      <c r="R484" t="s">
        <v>18</v>
      </c>
      <c r="S484">
        <f>IF(Booking_Data[[#This Row],[Cancellation Status]]="yes",1,0)</f>
        <v>1</v>
      </c>
    </row>
    <row r="485" spans="1:19" x14ac:dyDescent="0.35">
      <c r="A485" t="s">
        <v>982</v>
      </c>
      <c r="B485" t="s">
        <v>983</v>
      </c>
      <c r="C485" s="1">
        <v>45380</v>
      </c>
      <c r="D485" s="1">
        <v>45383</v>
      </c>
      <c r="E485" s="1">
        <v>45387</v>
      </c>
      <c r="F485" s="2">
        <f t="shared" si="35"/>
        <v>5</v>
      </c>
      <c r="G485" s="2" t="str">
        <f t="shared" si="36"/>
        <v>Friday</v>
      </c>
      <c r="H485" s="2" t="str">
        <f t="shared" si="37"/>
        <v>March</v>
      </c>
      <c r="I485" t="s">
        <v>35</v>
      </c>
      <c r="J485" t="s">
        <v>31</v>
      </c>
      <c r="K485" t="s">
        <v>49</v>
      </c>
      <c r="L485" t="s">
        <v>23</v>
      </c>
      <c r="M485">
        <v>836.87</v>
      </c>
      <c r="N485">
        <f t="shared" si="38"/>
        <v>4</v>
      </c>
      <c r="O485">
        <v>20</v>
      </c>
      <c r="P485" t="str">
        <f t="shared" si="39"/>
        <v>Yes</v>
      </c>
      <c r="Q485">
        <f>IF(Booking_Data[[#This Row],[Discounted Booking]]="Yes",1,0)</f>
        <v>1</v>
      </c>
      <c r="R485" t="s">
        <v>18</v>
      </c>
      <c r="S485">
        <f>IF(Booking_Data[[#This Row],[Cancellation Status]]="yes",1,0)</f>
        <v>1</v>
      </c>
    </row>
    <row r="486" spans="1:19" x14ac:dyDescent="0.35">
      <c r="A486" t="s">
        <v>984</v>
      </c>
      <c r="B486" t="s">
        <v>57</v>
      </c>
      <c r="C486" s="1">
        <v>45380</v>
      </c>
      <c r="D486" s="1">
        <v>45410</v>
      </c>
      <c r="E486" s="1">
        <v>45413</v>
      </c>
      <c r="F486" s="2">
        <f t="shared" si="35"/>
        <v>5</v>
      </c>
      <c r="G486" s="2" t="str">
        <f t="shared" si="36"/>
        <v>Friday</v>
      </c>
      <c r="H486" s="2" t="str">
        <f t="shared" si="37"/>
        <v>March</v>
      </c>
      <c r="I486" t="s">
        <v>35</v>
      </c>
      <c r="J486" t="s">
        <v>31</v>
      </c>
      <c r="K486" t="s">
        <v>49</v>
      </c>
      <c r="L486" t="s">
        <v>37</v>
      </c>
      <c r="M486">
        <v>807.95</v>
      </c>
      <c r="N486">
        <f t="shared" si="38"/>
        <v>3</v>
      </c>
      <c r="O486">
        <v>20</v>
      </c>
      <c r="P486" t="str">
        <f t="shared" si="39"/>
        <v>Yes</v>
      </c>
      <c r="Q486">
        <f>IF(Booking_Data[[#This Row],[Discounted Booking]]="Yes",1,0)</f>
        <v>1</v>
      </c>
      <c r="R486" t="s">
        <v>18</v>
      </c>
      <c r="S486">
        <f>IF(Booking_Data[[#This Row],[Cancellation Status]]="yes",1,0)</f>
        <v>1</v>
      </c>
    </row>
    <row r="487" spans="1:19" x14ac:dyDescent="0.35">
      <c r="A487" t="s">
        <v>985</v>
      </c>
      <c r="B487" t="s">
        <v>986</v>
      </c>
      <c r="C487" s="1">
        <v>45380</v>
      </c>
      <c r="D487" s="1">
        <v>45391</v>
      </c>
      <c r="E487" s="1">
        <v>45397</v>
      </c>
      <c r="F487" s="2">
        <f t="shared" si="35"/>
        <v>5</v>
      </c>
      <c r="G487" s="2" t="str">
        <f t="shared" si="36"/>
        <v>Friday</v>
      </c>
      <c r="H487" s="2" t="str">
        <f t="shared" si="37"/>
        <v>March</v>
      </c>
      <c r="I487" t="s">
        <v>14</v>
      </c>
      <c r="J487" t="s">
        <v>15</v>
      </c>
      <c r="K487" t="s">
        <v>42</v>
      </c>
      <c r="L487" t="s">
        <v>17</v>
      </c>
      <c r="M487">
        <v>366.1</v>
      </c>
      <c r="N487">
        <f t="shared" si="38"/>
        <v>6</v>
      </c>
      <c r="O487">
        <v>5</v>
      </c>
      <c r="P487" t="str">
        <f t="shared" si="39"/>
        <v>Yes</v>
      </c>
      <c r="Q487">
        <f>IF(Booking_Data[[#This Row],[Discounted Booking]]="Yes",1,0)</f>
        <v>1</v>
      </c>
      <c r="R487" t="s">
        <v>24</v>
      </c>
      <c r="S487">
        <f>IF(Booking_Data[[#This Row],[Cancellation Status]]="yes",1,0)</f>
        <v>0</v>
      </c>
    </row>
    <row r="488" spans="1:19" x14ac:dyDescent="0.35">
      <c r="A488" t="s">
        <v>987</v>
      </c>
      <c r="B488" t="s">
        <v>988</v>
      </c>
      <c r="C488" s="1">
        <v>45381</v>
      </c>
      <c r="D488" s="1">
        <v>45392</v>
      </c>
      <c r="E488" s="1">
        <v>45401</v>
      </c>
      <c r="F488" s="2">
        <f t="shared" si="35"/>
        <v>5</v>
      </c>
      <c r="G488" s="2" t="str">
        <f t="shared" si="36"/>
        <v>Saturday</v>
      </c>
      <c r="H488" s="2" t="str">
        <f t="shared" si="37"/>
        <v>March</v>
      </c>
      <c r="I488" t="s">
        <v>35</v>
      </c>
      <c r="J488" t="s">
        <v>31</v>
      </c>
      <c r="K488" t="s">
        <v>32</v>
      </c>
      <c r="L488" t="s">
        <v>37</v>
      </c>
      <c r="M488">
        <v>898.9</v>
      </c>
      <c r="N488">
        <f t="shared" si="38"/>
        <v>9</v>
      </c>
      <c r="O488">
        <v>5</v>
      </c>
      <c r="P488" t="str">
        <f t="shared" si="39"/>
        <v>Yes</v>
      </c>
      <c r="Q488">
        <f>IF(Booking_Data[[#This Row],[Discounted Booking]]="Yes",1,0)</f>
        <v>1</v>
      </c>
      <c r="R488" t="s">
        <v>18</v>
      </c>
      <c r="S488">
        <f>IF(Booking_Data[[#This Row],[Cancellation Status]]="yes",1,0)</f>
        <v>1</v>
      </c>
    </row>
    <row r="489" spans="1:19" x14ac:dyDescent="0.35">
      <c r="A489" t="s">
        <v>989</v>
      </c>
      <c r="B489" t="s">
        <v>990</v>
      </c>
      <c r="C489" s="1">
        <v>45381</v>
      </c>
      <c r="D489" s="1">
        <v>45386</v>
      </c>
      <c r="E489" s="1">
        <v>45392</v>
      </c>
      <c r="F489" s="2">
        <f t="shared" si="35"/>
        <v>5</v>
      </c>
      <c r="G489" s="2" t="str">
        <f t="shared" si="36"/>
        <v>Saturday</v>
      </c>
      <c r="H489" s="2" t="str">
        <f t="shared" si="37"/>
        <v>March</v>
      </c>
      <c r="I489" t="s">
        <v>35</v>
      </c>
      <c r="J489" t="s">
        <v>21</v>
      </c>
      <c r="K489" t="s">
        <v>42</v>
      </c>
      <c r="L489" t="s">
        <v>23</v>
      </c>
      <c r="M489">
        <v>465.06</v>
      </c>
      <c r="N489">
        <f t="shared" si="38"/>
        <v>6</v>
      </c>
      <c r="O489">
        <v>20</v>
      </c>
      <c r="P489" t="str">
        <f t="shared" si="39"/>
        <v>Yes</v>
      </c>
      <c r="Q489">
        <f>IF(Booking_Data[[#This Row],[Discounted Booking]]="Yes",1,0)</f>
        <v>1</v>
      </c>
      <c r="R489" t="s">
        <v>24</v>
      </c>
      <c r="S489">
        <f>IF(Booking_Data[[#This Row],[Cancellation Status]]="yes",1,0)</f>
        <v>0</v>
      </c>
    </row>
    <row r="490" spans="1:19" x14ac:dyDescent="0.35">
      <c r="A490" t="s">
        <v>991</v>
      </c>
      <c r="B490" t="s">
        <v>992</v>
      </c>
      <c r="C490" s="1">
        <v>45381</v>
      </c>
      <c r="D490" s="1">
        <v>45393</v>
      </c>
      <c r="E490" s="1">
        <v>45399</v>
      </c>
      <c r="F490" s="2">
        <f t="shared" si="35"/>
        <v>5</v>
      </c>
      <c r="G490" s="2" t="str">
        <f t="shared" si="36"/>
        <v>Saturday</v>
      </c>
      <c r="H490" s="2" t="str">
        <f t="shared" si="37"/>
        <v>March</v>
      </c>
      <c r="I490" t="s">
        <v>14</v>
      </c>
      <c r="J490" t="s">
        <v>15</v>
      </c>
      <c r="K490" t="s">
        <v>32</v>
      </c>
      <c r="L490" t="s">
        <v>27</v>
      </c>
      <c r="M490">
        <v>975.31</v>
      </c>
      <c r="N490">
        <f t="shared" si="38"/>
        <v>6</v>
      </c>
      <c r="O490">
        <v>10</v>
      </c>
      <c r="P490" t="str">
        <f t="shared" si="39"/>
        <v>Yes</v>
      </c>
      <c r="Q490">
        <f>IF(Booking_Data[[#This Row],[Discounted Booking]]="Yes",1,0)</f>
        <v>1</v>
      </c>
      <c r="R490" t="s">
        <v>24</v>
      </c>
      <c r="S490">
        <f>IF(Booking_Data[[#This Row],[Cancellation Status]]="yes",1,0)</f>
        <v>0</v>
      </c>
    </row>
    <row r="491" spans="1:19" x14ac:dyDescent="0.35">
      <c r="A491" t="s">
        <v>993</v>
      </c>
      <c r="B491" t="s">
        <v>994</v>
      </c>
      <c r="C491" s="1">
        <v>45381</v>
      </c>
      <c r="D491" s="1">
        <v>45396</v>
      </c>
      <c r="E491" s="1">
        <v>45403</v>
      </c>
      <c r="F491" s="2">
        <f t="shared" si="35"/>
        <v>5</v>
      </c>
      <c r="G491" s="2" t="str">
        <f t="shared" si="36"/>
        <v>Saturday</v>
      </c>
      <c r="H491" s="2" t="str">
        <f t="shared" si="37"/>
        <v>March</v>
      </c>
      <c r="I491" t="s">
        <v>30</v>
      </c>
      <c r="J491" t="s">
        <v>36</v>
      </c>
      <c r="K491" t="s">
        <v>22</v>
      </c>
      <c r="L491" t="s">
        <v>17</v>
      </c>
      <c r="M491">
        <v>335.03</v>
      </c>
      <c r="N491">
        <f t="shared" si="38"/>
        <v>7</v>
      </c>
      <c r="O491">
        <v>10</v>
      </c>
      <c r="P491" t="str">
        <f t="shared" si="39"/>
        <v>Yes</v>
      </c>
      <c r="Q491">
        <f>IF(Booking_Data[[#This Row],[Discounted Booking]]="Yes",1,0)</f>
        <v>1</v>
      </c>
      <c r="R491" t="s">
        <v>18</v>
      </c>
      <c r="S491">
        <f>IF(Booking_Data[[#This Row],[Cancellation Status]]="yes",1,0)</f>
        <v>1</v>
      </c>
    </row>
    <row r="492" spans="1:19" x14ac:dyDescent="0.35">
      <c r="A492" t="s">
        <v>995</v>
      </c>
      <c r="B492" t="s">
        <v>996</v>
      </c>
      <c r="C492" s="1">
        <v>45381</v>
      </c>
      <c r="D492" s="1">
        <v>45388</v>
      </c>
      <c r="E492" s="1">
        <v>45390</v>
      </c>
      <c r="F492" s="2">
        <f t="shared" si="35"/>
        <v>5</v>
      </c>
      <c r="G492" s="2" t="str">
        <f t="shared" si="36"/>
        <v>Saturday</v>
      </c>
      <c r="H492" s="2" t="str">
        <f t="shared" si="37"/>
        <v>March</v>
      </c>
      <c r="I492" t="s">
        <v>14</v>
      </c>
      <c r="J492" t="s">
        <v>36</v>
      </c>
      <c r="K492" t="s">
        <v>16</v>
      </c>
      <c r="L492" t="s">
        <v>17</v>
      </c>
      <c r="M492">
        <v>1117.27</v>
      </c>
      <c r="N492">
        <f t="shared" si="38"/>
        <v>2</v>
      </c>
      <c r="O492">
        <v>20</v>
      </c>
      <c r="P492" t="str">
        <f t="shared" si="39"/>
        <v>Yes</v>
      </c>
      <c r="Q492">
        <f>IF(Booking_Data[[#This Row],[Discounted Booking]]="Yes",1,0)</f>
        <v>1</v>
      </c>
      <c r="R492" t="s">
        <v>18</v>
      </c>
      <c r="S492">
        <f>IF(Booking_Data[[#This Row],[Cancellation Status]]="yes",1,0)</f>
        <v>1</v>
      </c>
    </row>
    <row r="493" spans="1:19" x14ac:dyDescent="0.35">
      <c r="A493" t="s">
        <v>997</v>
      </c>
      <c r="B493" t="s">
        <v>998</v>
      </c>
      <c r="C493" s="1">
        <v>45381</v>
      </c>
      <c r="D493" s="1">
        <v>45393</v>
      </c>
      <c r="E493" s="1">
        <v>45398</v>
      </c>
      <c r="F493" s="2">
        <f t="shared" si="35"/>
        <v>5</v>
      </c>
      <c r="G493" s="2" t="str">
        <f t="shared" si="36"/>
        <v>Saturday</v>
      </c>
      <c r="H493" s="2" t="str">
        <f t="shared" si="37"/>
        <v>March</v>
      </c>
      <c r="I493" t="s">
        <v>14</v>
      </c>
      <c r="J493" t="s">
        <v>36</v>
      </c>
      <c r="K493" t="s">
        <v>16</v>
      </c>
      <c r="L493" t="s">
        <v>27</v>
      </c>
      <c r="M493">
        <v>1329.28</v>
      </c>
      <c r="N493">
        <f t="shared" si="38"/>
        <v>5</v>
      </c>
      <c r="O493">
        <v>15</v>
      </c>
      <c r="P493" t="str">
        <f t="shared" si="39"/>
        <v>Yes</v>
      </c>
      <c r="Q493">
        <f>IF(Booking_Data[[#This Row],[Discounted Booking]]="Yes",1,0)</f>
        <v>1</v>
      </c>
      <c r="R493" t="s">
        <v>24</v>
      </c>
      <c r="S493">
        <f>IF(Booking_Data[[#This Row],[Cancellation Status]]="yes",1,0)</f>
        <v>0</v>
      </c>
    </row>
    <row r="494" spans="1:19" x14ac:dyDescent="0.35">
      <c r="A494" t="s">
        <v>999</v>
      </c>
      <c r="B494" t="s">
        <v>1000</v>
      </c>
      <c r="C494" s="1">
        <v>45382</v>
      </c>
      <c r="D494" s="1">
        <v>45406</v>
      </c>
      <c r="E494" s="1">
        <v>45409</v>
      </c>
      <c r="F494" s="2">
        <f t="shared" si="35"/>
        <v>6</v>
      </c>
      <c r="G494" s="2" t="str">
        <f t="shared" si="36"/>
        <v>Sunday</v>
      </c>
      <c r="H494" s="2" t="str">
        <f t="shared" si="37"/>
        <v>March</v>
      </c>
      <c r="I494" t="s">
        <v>30</v>
      </c>
      <c r="J494" t="s">
        <v>36</v>
      </c>
      <c r="K494" t="s">
        <v>42</v>
      </c>
      <c r="L494" t="s">
        <v>23</v>
      </c>
      <c r="M494">
        <v>599.15</v>
      </c>
      <c r="N494">
        <f t="shared" si="38"/>
        <v>3</v>
      </c>
      <c r="O494">
        <v>10</v>
      </c>
      <c r="P494" t="str">
        <f t="shared" si="39"/>
        <v>Yes</v>
      </c>
      <c r="Q494">
        <f>IF(Booking_Data[[#This Row],[Discounted Booking]]="Yes",1,0)</f>
        <v>1</v>
      </c>
      <c r="R494" t="s">
        <v>18</v>
      </c>
      <c r="S494">
        <f>IF(Booking_Data[[#This Row],[Cancellation Status]]="yes",1,0)</f>
        <v>1</v>
      </c>
    </row>
    <row r="495" spans="1:19" x14ac:dyDescent="0.35">
      <c r="A495" t="s">
        <v>1001</v>
      </c>
      <c r="B495" t="s">
        <v>1002</v>
      </c>
      <c r="C495" s="1">
        <v>45382</v>
      </c>
      <c r="D495" s="1">
        <v>45389</v>
      </c>
      <c r="E495" s="1">
        <v>45397</v>
      </c>
      <c r="F495" s="2">
        <f t="shared" si="35"/>
        <v>6</v>
      </c>
      <c r="G495" s="2" t="str">
        <f t="shared" si="36"/>
        <v>Sunday</v>
      </c>
      <c r="H495" s="2" t="str">
        <f t="shared" si="37"/>
        <v>March</v>
      </c>
      <c r="I495" t="s">
        <v>30</v>
      </c>
      <c r="J495" t="s">
        <v>31</v>
      </c>
      <c r="K495" t="s">
        <v>16</v>
      </c>
      <c r="L495" t="s">
        <v>23</v>
      </c>
      <c r="M495">
        <v>1115.43</v>
      </c>
      <c r="N495">
        <f t="shared" si="38"/>
        <v>8</v>
      </c>
      <c r="O495">
        <v>5</v>
      </c>
      <c r="P495" t="str">
        <f t="shared" si="39"/>
        <v>Yes</v>
      </c>
      <c r="Q495">
        <f>IF(Booking_Data[[#This Row],[Discounted Booking]]="Yes",1,0)</f>
        <v>1</v>
      </c>
      <c r="R495" t="s">
        <v>24</v>
      </c>
      <c r="S495">
        <f>IF(Booking_Data[[#This Row],[Cancellation Status]]="yes",1,0)</f>
        <v>0</v>
      </c>
    </row>
    <row r="496" spans="1:19" x14ac:dyDescent="0.35">
      <c r="A496" t="s">
        <v>1003</v>
      </c>
      <c r="B496" t="s">
        <v>1004</v>
      </c>
      <c r="C496" s="1">
        <v>45382</v>
      </c>
      <c r="D496" s="1">
        <v>45407</v>
      </c>
      <c r="E496" s="1">
        <v>45411</v>
      </c>
      <c r="F496" s="2">
        <f t="shared" si="35"/>
        <v>6</v>
      </c>
      <c r="G496" s="2" t="str">
        <f t="shared" si="36"/>
        <v>Sunday</v>
      </c>
      <c r="H496" s="2" t="str">
        <f t="shared" si="37"/>
        <v>March</v>
      </c>
      <c r="I496" t="s">
        <v>35</v>
      </c>
      <c r="J496" t="s">
        <v>36</v>
      </c>
      <c r="K496" t="s">
        <v>22</v>
      </c>
      <c r="L496" t="s">
        <v>17</v>
      </c>
      <c r="M496">
        <v>919.53</v>
      </c>
      <c r="N496">
        <f t="shared" si="38"/>
        <v>4</v>
      </c>
      <c r="O496">
        <v>0</v>
      </c>
      <c r="P496" t="str">
        <f t="shared" si="39"/>
        <v>No</v>
      </c>
      <c r="Q496">
        <f>IF(Booking_Data[[#This Row],[Discounted Booking]]="Yes",1,0)</f>
        <v>0</v>
      </c>
      <c r="R496" t="s">
        <v>24</v>
      </c>
      <c r="S496">
        <f>IF(Booking_Data[[#This Row],[Cancellation Status]]="yes",1,0)</f>
        <v>0</v>
      </c>
    </row>
    <row r="497" spans="1:19" x14ac:dyDescent="0.35">
      <c r="A497" t="s">
        <v>1005</v>
      </c>
      <c r="B497" t="s">
        <v>1006</v>
      </c>
      <c r="C497" s="1">
        <v>45382</v>
      </c>
      <c r="D497" s="1">
        <v>45393</v>
      </c>
      <c r="E497" s="1">
        <v>45395</v>
      </c>
      <c r="F497" s="2">
        <f t="shared" si="35"/>
        <v>6</v>
      </c>
      <c r="G497" s="2" t="str">
        <f t="shared" si="36"/>
        <v>Sunday</v>
      </c>
      <c r="H497" s="2" t="str">
        <f t="shared" si="37"/>
        <v>March</v>
      </c>
      <c r="I497" t="s">
        <v>30</v>
      </c>
      <c r="J497" t="s">
        <v>15</v>
      </c>
      <c r="K497" t="s">
        <v>32</v>
      </c>
      <c r="L497" t="s">
        <v>17</v>
      </c>
      <c r="M497">
        <v>1462.92</v>
      </c>
      <c r="N497">
        <f t="shared" si="38"/>
        <v>2</v>
      </c>
      <c r="O497">
        <v>20</v>
      </c>
      <c r="P497" t="str">
        <f t="shared" si="39"/>
        <v>Yes</v>
      </c>
      <c r="Q497">
        <f>IF(Booking_Data[[#This Row],[Discounted Booking]]="Yes",1,0)</f>
        <v>1</v>
      </c>
      <c r="R497" t="s">
        <v>24</v>
      </c>
      <c r="S497">
        <f>IF(Booking_Data[[#This Row],[Cancellation Status]]="yes",1,0)</f>
        <v>0</v>
      </c>
    </row>
    <row r="498" spans="1:19" x14ac:dyDescent="0.35">
      <c r="A498" t="s">
        <v>1007</v>
      </c>
      <c r="B498" t="s">
        <v>1008</v>
      </c>
      <c r="C498" s="1">
        <v>45382</v>
      </c>
      <c r="D498" s="1">
        <v>45384</v>
      </c>
      <c r="E498" s="1">
        <v>45388</v>
      </c>
      <c r="F498" s="2">
        <f t="shared" si="35"/>
        <v>6</v>
      </c>
      <c r="G498" s="2" t="str">
        <f t="shared" si="36"/>
        <v>Sunday</v>
      </c>
      <c r="H498" s="2" t="str">
        <f t="shared" si="37"/>
        <v>March</v>
      </c>
      <c r="I498" t="s">
        <v>35</v>
      </c>
      <c r="J498" t="s">
        <v>15</v>
      </c>
      <c r="K498" t="s">
        <v>42</v>
      </c>
      <c r="L498" t="s">
        <v>17</v>
      </c>
      <c r="M498">
        <v>1166.79</v>
      </c>
      <c r="N498">
        <f t="shared" si="38"/>
        <v>4</v>
      </c>
      <c r="O498">
        <v>15</v>
      </c>
      <c r="P498" t="str">
        <f t="shared" si="39"/>
        <v>Yes</v>
      </c>
      <c r="Q498">
        <f>IF(Booking_Data[[#This Row],[Discounted Booking]]="Yes",1,0)</f>
        <v>1</v>
      </c>
      <c r="R498" t="s">
        <v>18</v>
      </c>
      <c r="S498">
        <f>IF(Booking_Data[[#This Row],[Cancellation Status]]="yes",1,0)</f>
        <v>1</v>
      </c>
    </row>
    <row r="499" spans="1:19" x14ac:dyDescent="0.35">
      <c r="A499" t="s">
        <v>1009</v>
      </c>
      <c r="B499" t="s">
        <v>1010</v>
      </c>
      <c r="C499" s="1">
        <v>45382</v>
      </c>
      <c r="D499" s="1">
        <v>45394</v>
      </c>
      <c r="E499" s="1">
        <v>45400</v>
      </c>
      <c r="F499" s="2">
        <f t="shared" si="35"/>
        <v>6</v>
      </c>
      <c r="G499" s="2" t="str">
        <f t="shared" si="36"/>
        <v>Sunday</v>
      </c>
      <c r="H499" s="2" t="str">
        <f t="shared" si="37"/>
        <v>March</v>
      </c>
      <c r="I499" t="s">
        <v>35</v>
      </c>
      <c r="J499" t="s">
        <v>36</v>
      </c>
      <c r="K499" t="s">
        <v>58</v>
      </c>
      <c r="L499" t="s">
        <v>27</v>
      </c>
      <c r="M499">
        <v>1160.72</v>
      </c>
      <c r="N499">
        <f t="shared" si="38"/>
        <v>6</v>
      </c>
      <c r="O499">
        <v>15</v>
      </c>
      <c r="P499" t="str">
        <f t="shared" si="39"/>
        <v>Yes</v>
      </c>
      <c r="Q499">
        <f>IF(Booking_Data[[#This Row],[Discounted Booking]]="Yes",1,0)</f>
        <v>1</v>
      </c>
      <c r="R499" t="s">
        <v>18</v>
      </c>
      <c r="S499">
        <f>IF(Booking_Data[[#This Row],[Cancellation Status]]="yes",1,0)</f>
        <v>1</v>
      </c>
    </row>
    <row r="500" spans="1:19" x14ac:dyDescent="0.35">
      <c r="A500" t="s">
        <v>1011</v>
      </c>
      <c r="B500" t="s">
        <v>1012</v>
      </c>
      <c r="C500" s="1">
        <v>45382</v>
      </c>
      <c r="D500" s="1">
        <v>45389</v>
      </c>
      <c r="E500" s="1">
        <v>45399</v>
      </c>
      <c r="F500" s="2">
        <f t="shared" si="35"/>
        <v>6</v>
      </c>
      <c r="G500" s="2" t="str">
        <f t="shared" si="36"/>
        <v>Sunday</v>
      </c>
      <c r="H500" s="2" t="str">
        <f t="shared" si="37"/>
        <v>March</v>
      </c>
      <c r="I500" t="s">
        <v>14</v>
      </c>
      <c r="J500" t="s">
        <v>15</v>
      </c>
      <c r="K500" t="s">
        <v>16</v>
      </c>
      <c r="L500" t="s">
        <v>37</v>
      </c>
      <c r="M500">
        <v>1268.2</v>
      </c>
      <c r="N500">
        <f t="shared" si="38"/>
        <v>10</v>
      </c>
      <c r="O500">
        <v>10</v>
      </c>
      <c r="P500" t="str">
        <f t="shared" si="39"/>
        <v>Yes</v>
      </c>
      <c r="Q500">
        <f>IF(Booking_Data[[#This Row],[Discounted Booking]]="Yes",1,0)</f>
        <v>1</v>
      </c>
      <c r="R500" t="s">
        <v>18</v>
      </c>
      <c r="S500">
        <f>IF(Booking_Data[[#This Row],[Cancellation Status]]="yes",1,0)</f>
        <v>1</v>
      </c>
    </row>
    <row r="501" spans="1:19" x14ac:dyDescent="0.35">
      <c r="A501" t="s">
        <v>1013</v>
      </c>
      <c r="B501" t="s">
        <v>116</v>
      </c>
      <c r="C501" s="1">
        <v>45382</v>
      </c>
      <c r="D501" s="1">
        <v>45412</v>
      </c>
      <c r="E501" s="1">
        <v>45417</v>
      </c>
      <c r="F501" s="2">
        <f t="shared" si="35"/>
        <v>6</v>
      </c>
      <c r="G501" s="2" t="str">
        <f t="shared" si="36"/>
        <v>Sunday</v>
      </c>
      <c r="H501" s="2" t="str">
        <f t="shared" si="37"/>
        <v>March</v>
      </c>
      <c r="I501" t="s">
        <v>30</v>
      </c>
      <c r="J501" t="s">
        <v>21</v>
      </c>
      <c r="K501" t="s">
        <v>49</v>
      </c>
      <c r="L501" t="s">
        <v>27</v>
      </c>
      <c r="M501">
        <v>566.19000000000005</v>
      </c>
      <c r="N501">
        <f t="shared" si="38"/>
        <v>5</v>
      </c>
      <c r="O501">
        <v>10</v>
      </c>
      <c r="P501" t="str">
        <f t="shared" si="39"/>
        <v>Yes</v>
      </c>
      <c r="Q501">
        <f>IF(Booking_Data[[#This Row],[Discounted Booking]]="Yes",1,0)</f>
        <v>1</v>
      </c>
      <c r="R501" t="s">
        <v>18</v>
      </c>
      <c r="S501">
        <f>IF(Booking_Data[[#This Row],[Cancellation Status]]="yes",1,0)</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D1. Channel Distribution</vt:lpstr>
      <vt:lpstr>D2. Discount &amp; Promotion</vt:lpstr>
      <vt:lpstr>D3. Customer Insight</vt:lpstr>
      <vt:lpstr>Data Support</vt:lpstr>
      <vt:lpstr>Booking_Dataset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APTS</dc:creator>
  <cp:lastModifiedBy>APTS</cp:lastModifiedBy>
  <cp:lastPrinted>2026-05-04T12:39:47Z</cp:lastPrinted>
  <dcterms:created xsi:type="dcterms:W3CDTF">2026-04-30T01:22:03Z</dcterms:created>
  <dcterms:modified xsi:type="dcterms:W3CDTF">2026-05-05T15:16:09Z</dcterms:modified>
</cp:coreProperties>
</file>